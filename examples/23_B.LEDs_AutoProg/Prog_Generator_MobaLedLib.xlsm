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mc:AlternateContent xmlns:mc="http://schemas.openxmlformats.org/markup-compatibility/2006">
    <mc:Choice Requires="x15">
      <x15ac:absPath xmlns:x15ac="http://schemas.microsoft.com/office/spreadsheetml/2010/11/ac" url="C:\Dat\Märklin\Arduino\LEDs_Eisenbahn\examples\23_B.LEDs_AutoProg\"/>
    </mc:Choice>
  </mc:AlternateContent>
  <xr:revisionPtr revIDLastSave="0" documentId="13_ncr:1_{391E6024-8342-452C-B779-FC8A5F66BA66}" xr6:coauthVersionLast="44" xr6:coauthVersionMax="44" xr10:uidLastSave="{00000000-0000-0000-0000-000000000000}"/>
  <bookViews>
    <workbookView xWindow="828" yWindow="-108" windowWidth="22320" windowHeight="13176"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DCC!$B$2:$N$105</definedName>
    <definedName name="_xlnm._FilterDatabase" localSheetId="5" hidden="1">Lib_Macros!$A$3:$L$151</definedName>
    <definedName name="_xlnm._FilterDatabase" localSheetId="6" hidden="1">Par_Description!$A$1:$I$47</definedName>
    <definedName name="_xlnm._FilterDatabase" localSheetId="2" hidden="1">Selectrix!$B$2:$O$85</definedName>
    <definedName name="AddLibNames">Config!$C$10</definedName>
    <definedName name="DCC_Offset">Config!$C$6</definedName>
    <definedName name="Lib_Installed_other">Config!$C$11</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 i="1" l="1"/>
  <c r="J141" i="3" l="1"/>
  <c r="J140" i="3"/>
  <c r="J139" i="3"/>
  <c r="J138" i="3"/>
  <c r="C1" i="16" l="1"/>
  <c r="C1" i="17" l="1"/>
  <c r="J53" i="3"/>
  <c r="J52" i="3"/>
  <c r="J51" i="3"/>
  <c r="J50" i="3"/>
  <c r="J46" i="3" l="1"/>
  <c r="J47" i="3"/>
  <c r="J48" i="3"/>
  <c r="J49" i="3"/>
  <c r="J45" i="3" l="1"/>
  <c r="H47" i="8"/>
  <c r="H46" i="8"/>
  <c r="H50" i="8"/>
  <c r="H49" i="8"/>
  <c r="H48" i="8"/>
  <c r="J44" i="3"/>
  <c r="J151" i="3" l="1"/>
  <c r="J150" i="3"/>
  <c r="J149" i="3"/>
  <c r="J147" i="3"/>
  <c r="J146" i="3"/>
  <c r="J145" i="3"/>
  <c r="J144" i="3"/>
  <c r="J143" i="3"/>
  <c r="H9" i="8" l="1"/>
  <c r="H30" i="8" l="1"/>
  <c r="H29" i="8"/>
  <c r="H44" i="8" l="1"/>
  <c r="H27" i="8" l="1"/>
  <c r="H26" i="8"/>
  <c r="H17" i="8"/>
  <c r="G7" i="8"/>
  <c r="H20" i="8"/>
  <c r="H19" i="8"/>
  <c r="H11" i="8"/>
  <c r="J106" i="3" l="1"/>
  <c r="J107" i="3"/>
  <c r="J108" i="3"/>
  <c r="J109" i="3"/>
  <c r="J110" i="3"/>
  <c r="J111" i="3"/>
  <c r="J112" i="3"/>
  <c r="J113" i="3"/>
  <c r="J114" i="3"/>
  <c r="J115" i="3"/>
  <c r="J117" i="3"/>
  <c r="J118" i="3"/>
  <c r="J119" i="3"/>
  <c r="J122" i="3"/>
  <c r="J123" i="3"/>
  <c r="J124" i="3"/>
  <c r="J125" i="3"/>
  <c r="J127" i="3"/>
  <c r="J128" i="3"/>
  <c r="J129" i="3"/>
  <c r="J130" i="3"/>
  <c r="J131" i="3"/>
  <c r="J133" i="3"/>
  <c r="J134" i="3"/>
  <c r="J135" i="3"/>
  <c r="J92" i="3"/>
  <c r="J93" i="3"/>
  <c r="J94" i="3"/>
  <c r="J95" i="3"/>
  <c r="J96" i="3"/>
  <c r="J97" i="3"/>
  <c r="J99" i="3"/>
  <c r="J100" i="3"/>
  <c r="J102" i="3"/>
  <c r="J103" i="3"/>
  <c r="J104" i="3"/>
  <c r="J105" i="3"/>
  <c r="J74" i="3"/>
  <c r="J75" i="3"/>
  <c r="J76" i="3"/>
  <c r="J77" i="3"/>
  <c r="J78" i="3"/>
  <c r="J79" i="3"/>
  <c r="J80" i="3"/>
  <c r="J81" i="3"/>
  <c r="J82" i="3"/>
  <c r="J83" i="3"/>
  <c r="J84" i="3"/>
  <c r="J86" i="3"/>
  <c r="J87" i="3"/>
  <c r="J88" i="3"/>
  <c r="J89" i="3"/>
  <c r="J5" i="3"/>
  <c r="J6" i="3"/>
  <c r="J16" i="3"/>
  <c r="J7" i="3"/>
  <c r="J8" i="3"/>
  <c r="J9" i="3"/>
  <c r="J10" i="3"/>
  <c r="J11" i="3"/>
  <c r="J12" i="3"/>
  <c r="J14" i="3"/>
  <c r="J15" i="3"/>
  <c r="J17" i="3"/>
  <c r="J18" i="3"/>
  <c r="J19" i="3"/>
  <c r="J20" i="3"/>
  <c r="J21" i="3"/>
  <c r="J22" i="3"/>
  <c r="J23" i="3"/>
  <c r="J24" i="3"/>
  <c r="J27" i="3"/>
  <c r="J28" i="3"/>
  <c r="J29" i="3"/>
  <c r="J30" i="3"/>
  <c r="J31" i="3"/>
  <c r="J32" i="3"/>
  <c r="J33" i="3"/>
  <c r="J34" i="3"/>
  <c r="J35" i="3"/>
  <c r="J36" i="3"/>
  <c r="J37" i="3"/>
  <c r="J38" i="3"/>
  <c r="J39" i="3"/>
  <c r="J40" i="3"/>
  <c r="J41" i="3"/>
  <c r="J42" i="3"/>
  <c r="J43" i="3"/>
  <c r="J54" i="3"/>
  <c r="J55" i="3"/>
  <c r="J56" i="3"/>
  <c r="J57" i="3"/>
  <c r="J58" i="3"/>
  <c r="J59" i="3"/>
  <c r="J60" i="3"/>
  <c r="J61" i="3"/>
  <c r="J62" i="3"/>
  <c r="J63" i="3"/>
  <c r="J64" i="3"/>
  <c r="J65" i="3"/>
  <c r="J66" i="3"/>
  <c r="J67" i="3"/>
  <c r="J68" i="3"/>
  <c r="J69" i="3"/>
  <c r="J70" i="3"/>
  <c r="J71" i="3"/>
  <c r="J72" i="3"/>
  <c r="J73" i="3"/>
  <c r="J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10" authorId="0" shapeId="0" xr:uid="{00000000-0006-0000-0400-000004000000}">
      <text>
        <r>
          <rPr>
            <sz val="8"/>
            <color indexed="81"/>
            <rFont val="Segoe UI"/>
            <family val="2"/>
          </rPr>
          <t>Liste der zusätzlich benötigten Bibliotheken</t>
        </r>
      </text>
    </comment>
    <comment ref="B11" authorId="0" shapeId="0" xr:uid="{00000000-0006-0000-0400-000005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B13" authorId="0" shapeId="0" xr:uid="{00000000-0006-0000-0500-000004000000}">
      <text>
        <r>
          <rPr>
            <sz val="9"/>
            <color indexed="81"/>
            <rFont val="Segoe UI"/>
            <family val="2"/>
          </rPr>
          <t>Verhindert doppelte Leerzeile im Normal Mode</t>
        </r>
      </text>
    </comment>
    <comment ref="H45" authorId="0" shapeId="0" xr:uid="{00000000-0006-0000-0500-000005000000}">
      <text>
        <r>
          <rPr>
            <sz val="9"/>
            <color indexed="81"/>
            <rFont val="Segoe UI"/>
            <charset val="1"/>
          </rPr>
          <t>Die Anzahl der LEDs ist abhängig von der Eingabe</t>
        </r>
      </text>
    </comment>
    <comment ref="B63" authorId="0" shapeId="0" xr:uid="{00000000-0006-0000-0500-000006000000}">
      <text>
        <r>
          <rPr>
            <sz val="9"/>
            <color indexed="81"/>
            <rFont val="Segoe UI"/>
            <family val="2"/>
          </rPr>
          <t>Verhindert doppelte Leerzeile im Normal Mode</t>
        </r>
      </text>
    </comment>
    <comment ref="B70" authorId="0" shapeId="0" xr:uid="{00000000-0006-0000-0500-000007000000}">
      <text>
        <r>
          <rPr>
            <sz val="9"/>
            <color indexed="81"/>
            <rFont val="Segoe UI"/>
            <family val="2"/>
          </rPr>
          <t>Verhindert doppelte Leerzeile im Normal Mode</t>
        </r>
      </text>
    </comment>
    <comment ref="B77" authorId="0" shapeId="0" xr:uid="{00000000-0006-0000-0500-000008000000}">
      <text>
        <r>
          <rPr>
            <sz val="9"/>
            <color indexed="81"/>
            <rFont val="Segoe UI"/>
            <family val="2"/>
          </rPr>
          <t>Verhindert doppelte Leerzeile im Normal Mode</t>
        </r>
      </text>
    </comment>
    <comment ref="B80" authorId="0" shapeId="0" xr:uid="{00000000-0006-0000-0500-000009000000}">
      <text>
        <r>
          <rPr>
            <sz val="9"/>
            <color indexed="81"/>
            <rFont val="Segoe UI"/>
            <family val="2"/>
          </rPr>
          <t>Verhindert doppelte Leerzeile im Normal Mode</t>
        </r>
      </text>
    </comment>
    <comment ref="B90" authorId="0" shapeId="0" xr:uid="{00000000-0006-0000-0500-00000A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<sst xmlns="http://schemas.openxmlformats.org/spreadsheetml/2006/main" count="1709" uniqueCount="535">
  <si>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</si>
  <si>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</si>
  <si>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</si>
  <si>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</si>
  <si>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</si>
  <si>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</si>
  <si>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</si>
  <si>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</si>
  <si>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</si>
  <si>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</si>
  <si>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</si>
  <si>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</si>
  <si>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Random(        DstVar, InCh, Mode, MinTime, MaxTime, MinOn, MaxOn)</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</si>
  <si>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</si>
  <si>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</si>
  <si>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</si>
  <si>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</si>
  <si>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</si>
  <si>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</si>
  <si>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</si>
  <si>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</si>
  <si>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</si>
  <si>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</si>
  <si>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</si>
  <si>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</si>
  <si>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</si>
  <si>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</si>
  <si>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</si>
  <si>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</si>
  <si>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</si>
  <si>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</si>
  <si>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</si>
  <si>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</si>
  <si>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</si>
  <si>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</si>
  <si>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</si>
  <si>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</si>
  <si>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</si>
  <si>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</si>
  <si>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</si>
  <si>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</si>
  <si>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</si>
  <si>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</si>
  <si>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</si>
  <si>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</si>
  <si>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</si>
  <si>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</si>
  <si>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</si>
  <si>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</si>
  <si>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</si>
  <si>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</si>
  <si>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</si>
  <si>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</si>
  <si>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</si>
  <si>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</si>
  <si>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</si>
  <si>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</si>
  <si>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</si>
  <si>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</si>
  <si>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</si>
  <si>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</si>
  <si>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</si>
  <si>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</si>
  <si>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</si>
  <si>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</si>
  <si>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</si>
  <si>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</si>
  <si>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</si>
  <si>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</si>
  <si>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</si>
  <si>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</si>
  <si>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</si>
  <si>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</si>
  <si>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</si>
  <si>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</si>
  <si>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</si>
  <si>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</si>
  <si>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On_Limit</t>
  </si>
  <si>
    <t>Cx</t>
  </si>
  <si>
    <t>Duration</t>
  </si>
  <si>
    <t>Val0</t>
  </si>
  <si>
    <t>Pause</t>
  </si>
  <si>
    <t>Act</t>
  </si>
  <si>
    <t>Val1</t>
  </si>
  <si>
    <t>Off</t>
  </si>
  <si>
    <t>B_LED_Cx</t>
  </si>
  <si>
    <t>On_Min</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</si>
  <si>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</si>
  <si>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</si>
  <si>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</si>
  <si>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</si>
  <si>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</si>
  <si>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</si>
  <si>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</si>
  <si>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</si>
  <si>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</si>
  <si>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</si>
  <si>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</si>
  <si>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</si>
  <si>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</si>
  <si>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</si>
  <si>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</si>
  <si>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</si>
  <si>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</si>
  <si>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</si>
  <si>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</si>
  <si>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</si>
  <si>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</si>
  <si>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</si>
  <si>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</si>
  <si>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</si>
  <si>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</si>
  <si>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</si>
  <si>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</si>
  <si>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</si>
  <si>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</si>
  <si>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</si>
  <si>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</si>
  <si>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</si>
  <si>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</si>
  <si>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</si>
  <si>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</si>
  <si>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</si>
  <si>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</si>
  <si>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</si>
  <si>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</si>
  <si>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</si>
  <si>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</si>
  <si>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</si>
  <si>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</si>
  <si>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</si>
  <si>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</si>
  <si>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</si>
  <si>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</si>
  <si>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</si>
  <si>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Mit der „RandWelding()“ Funktion kann ein zuffällig aktives Schweißlicht simuliert werden.</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</si>
  <si>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</si>
  <si>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</si>
  <si>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</si>
  <si>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</si>
  <si>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</si>
  <si>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</si>
  <si>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</si>
  <si>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</si>
  <si>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</si>
  <si>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</si>
  <si>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</si>
  <si>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</si>
  <si>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</si>
  <si>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</si>
  <si>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</si>
  <si>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</si>
  <si>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</si>
  <si>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</si>
  <si>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</si>
  <si>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</si>
  <si>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</si>
  <si>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</si>
  <si>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</si>
  <si>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</si>
  <si>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</si>
  <si>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</si>
  <si>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</si>
  <si>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</si>
  <si>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</si>
  <si>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</si>
  <si>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</si>
  <si>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</si>
  <si>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RandMux(       DstVar1, DstVarN, InCh, Mode, MinTime, MaxTime)</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</si>
  <si>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</si>
  <si>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</si>
  <si>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</si>
  <si>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</si>
  <si>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</si>
  <si>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</si>
  <si>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</si>
  <si>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</si>
  <si>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</si>
  <si>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</si>
  <si>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</si>
  <si>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</si>
  <si>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Counter(       Mode, InCh, Enable, TimeOut, ...)</t>
  </si>
  <si>
    <t>CopyLED(       LED, InCh, SrcLED)</t>
  </si>
  <si>
    <t>BlueLight1(    LED,Cx,InCh)</t>
  </si>
  <si>
    <t>BlueLight2(    LED,Cx,InCh)</t>
  </si>
  <si>
    <t>Leuchtfeuer(   LED,Cx,InCh)</t>
  </si>
  <si>
    <t>Andreaskreuz(  LED,Cx,InCh)</t>
  </si>
  <si>
    <t>LeuchtfeuerALL(LED,InCh)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</si>
  <si>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</si>
  <si>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</si>
  <si>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</si>
  <si>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</si>
  <si>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</si>
  <si>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</si>
  <si>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</si>
  <si>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</si>
  <si>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</si>
  <si>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</si>
  <si>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</si>
  <si>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</si>
  <si>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</si>
  <si>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</si>
  <si>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</si>
  <si>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</si>
  <si>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</si>
  <si>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</si>
  <si>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</si>
  <si>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</si>
  <si>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</si>
  <si>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</si>
  <si>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</si>
  <si>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</si>
  <si>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</si>
  <si>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</si>
  <si>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</si>
  <si>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</si>
  <si>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</si>
  <si>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</si>
  <si>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</si>
  <si>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</si>
  <si>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</si>
  <si>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</si>
  <si>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</si>
  <si>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</si>
  <si>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Dieses Makro generiert das Blinkmuster eines Windrads zu Demonstartionszwecken mit einer RGB LED.</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</si>
  <si>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</si>
  <si>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</si>
  <si>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</si>
  <si>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Generiert das abwechselnd Blinkenden Lampen in Andreaskreuzen  zu Demonstartionszwecken mit einer RGB LED.</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</si>
  <si>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</si>
  <si>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</si>
  <si>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</si>
  <si>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</si>
  <si>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</si>
  <si>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</si>
  <si>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</si>
  <si>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</si>
  <si>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</si>
  <si>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</si>
  <si>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</si>
  <si>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</si>
  <si>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</si>
  <si>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</si>
  <si>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</si>
  <si>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</si>
  <si>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</si>
  <si>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</si>
  <si>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</si>
  <si>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</si>
  <si>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</si>
  <si>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</si>
  <si>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</si>
  <si>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</si>
  <si>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</si>
  <si>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</si>
  <si>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</si>
  <si>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</si>
  <si>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</si>
  <si>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</si>
  <si>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</si>
  <si>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</si>
  <si>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</si>
  <si>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</si>
  <si>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</si>
  <si>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</si>
  <si>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</si>
  <si>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</si>
  <si>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</si>
  <si>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</si>
  <si>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</si>
  <si>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</si>
  <si>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</si>
  <si>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</si>
  <si>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</si>
  <si>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</si>
  <si>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</si>
  <si>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</si>
  <si>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</si>
  <si>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</si>
  <si>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</si>
  <si>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</si>
  <si>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</si>
  <si>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</si>
  <si>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</si>
  <si>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</si>
  <si>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</si>
  <si>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</si>
  <si>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</si>
  <si>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</si>
  <si>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</si>
  <si>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</si>
  <si>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</si>
  <si>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</si>
  <si>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</si>
  <si>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</si>
  <si>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</si>
  <si>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</si>
  <si>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</si>
  <si>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</si>
  <si>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</si>
  <si>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</si>
  <si>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</si>
  <si>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</si>
  <si>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</si>
  <si>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</si>
  <si>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</si>
  <si>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</si>
  <si>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</si>
  <si>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</si>
  <si>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</si>
  <si>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</si>
  <si>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</si>
  <si>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</si>
  <si>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Min, Max und Default ist momentan "Hart" kodiert ;-(</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</si>
  <si>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</si>
  <si>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</si>
  <si>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</si>
  <si>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</si>
  <si>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</si>
  <si>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</si>
  <si>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</si>
  <si>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</si>
  <si>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</si>
  <si>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</si>
  <si>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</si>
  <si>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</si>
  <si>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</si>
  <si>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</si>
  <si>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</si>
  <si>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</si>
  <si>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</si>
  <si>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</si>
  <si>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</si>
  <si>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</si>
  <si>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</si>
  <si>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</si>
  <si>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</si>
  <si>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</si>
  <si>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</si>
  <si>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</si>
  <si>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</si>
  <si>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</si>
  <si>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</si>
  <si>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</si>
  <si>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</si>
  <si>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</si>
  <si>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</si>
  <si>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</si>
  <si>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</si>
  <si>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</si>
  <si>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</si>
  <si>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</si>
  <si>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</si>
  <si>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</si>
  <si>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</si>
  <si>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Wartezeit am ende des Lauflichts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</si>
  <si>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</si>
  <si>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</si>
  <si>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</si>
  <si>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</si>
  <si>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</si>
  <si>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</si>
  <si>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</si>
  <si>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</si>
  <si>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</si>
  <si>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</si>
  <si>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</si>
  <si>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</si>
  <si>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</si>
  <si>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</si>
  <si>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</si>
  <si>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</si>
  <si>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</si>
  <si>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</si>
  <si>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</si>
  <si>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</si>
  <si>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</si>
  <si>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</si>
  <si>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</si>
  <si>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</si>
  <si>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</si>
  <si>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</si>
  <si>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</si>
  <si>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</si>
  <si>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</si>
  <si>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</si>
  <si>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</si>
  <si>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</si>
  <si>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</si>
  <si>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</si>
  <si>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</si>
  <si>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</si>
  <si>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</si>
  <si>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</si>
  <si>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</si>
  <si>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</si>
  <si>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</si>
  <si>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</si>
  <si>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</si>
  <si>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</si>
  <si>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</si>
  <si>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</si>
  <si>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</si>
  <si>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</si>
  <si>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</si>
  <si>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</si>
  <si>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</si>
  <si>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</si>
  <si>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</si>
  <si>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</si>
  <si>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</si>
  <si>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</si>
  <si>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</si>
  <si>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</si>
  <si>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</si>
  <si>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</si>
  <si>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</si>
  <si>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</si>
  <si>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</si>
  <si>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</si>
  <si>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</si>
  <si>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</si>
  <si>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</si>
  <si>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</si>
  <si>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</si>
  <si>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</si>
  <si>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</si>
  <si>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</si>
  <si>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</si>
  <si>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</si>
  <si>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</si>
  <si>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</si>
  <si>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</si>
  <si>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</si>
  <si>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</si>
  <si>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</si>
  <si>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</si>
  <si>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</si>
  <si>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</si>
  <si>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</si>
  <si>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</si>
  <si>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</si>
  <si>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</si>
  <si>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</si>
  <si>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</si>
  <si>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</si>
  <si>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</si>
  <si>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</si>
  <si>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</si>
  <si>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</si>
  <si>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</si>
  <si>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</si>
  <si>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</si>
  <si>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</si>
  <si>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</si>
  <si>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</si>
  <si>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</si>
  <si>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</si>
  <si>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</si>
  <si>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</si>
  <si>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</si>
  <si>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</si>
  <si>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</si>
  <si>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</si>
  <si>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</si>
  <si>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</si>
  <si>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</si>
  <si>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</si>
  <si>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</si>
  <si>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</si>
  <si>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</si>
  <si>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</si>
  <si>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</si>
  <si>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</si>
  <si>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</si>
  <si>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</si>
  <si>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</si>
  <si>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</si>
  <si>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</si>
  <si>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</si>
  <si>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</si>
  <si>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</si>
  <si>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</si>
  <si>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</si>
  <si>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</si>
  <si>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</si>
  <si>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</si>
  <si>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</si>
  <si>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</si>
  <si>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</si>
  <si>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</si>
  <si>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</si>
  <si>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</si>
  <si>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</si>
  <si>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</si>
  <si>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Offset für DCC Adresse:</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</si>
  <si>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</si>
  <si>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</si>
  <si>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</si>
  <si>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</si>
  <si>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</si>
  <si>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</si>
  <si>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</si>
  <si>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</si>
  <si>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</si>
  <si>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</si>
  <si>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</si>
  <si>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</si>
  <si>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</si>
  <si>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</si>
  <si>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</si>
  <si>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</si>
  <si>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</si>
  <si>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</si>
  <si>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</si>
  <si>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</si>
  <si>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</si>
  <si>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</si>
  <si>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</si>
  <si>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</si>
  <si>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</si>
  <si>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</si>
  <si>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</si>
  <si>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</si>
  <si>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</si>
  <si>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</si>
  <si>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</si>
  <si>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</si>
  <si>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</si>
  <si>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</si>
  <si>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</si>
  <si>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</si>
  <si>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</si>
  <si>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</si>
  <si>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Nummer der globalen Varieblen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</si>
</sst>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quot;NUM_LEDS&quot;\ 0\ "/>
  </numFmts>
  <fonts count="20"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9"/>
      <color indexed="81"/>
      <name val="Segoe UI"/>
      <charset val="1"/>
    </font>
    <font>
      <sz val="10"/>
      <color rgb="FF0000C0"/>
      <name val="Arial"/>
      <family val="2"/>
    </font>
    <font>
      <sz val="10"/>
      <color rgb="FF006600"/>
      <name val="Arial"/>
      <family val="2"/>
    </font>
    <font>
      <sz val="10"/>
      <color theme="0"/>
      <name val="Arial"/>
      <family val="2"/>
    </font>
    <font>
      <b/>
      <sz val="1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s>
  <cellStyleXfs count="1">
    <xf numFmtId="0" fontId="0" fillId="0" borderId="0"/>
  </cellStyleXfs>
  <cellXfs count="202">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6" fillId="0" borderId="1" xfId="0" applyFont="1" applyBorder="1" applyAlignment="1">
      <alignment vertical="top" wrapText="1"/>
    </xf>
    <xf numFmtId="0" fontId="17"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0" fontId="18" fillId="0" borderId="3" xfId="0" quotePrefix="1"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6"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7"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17" fillId="0" borderId="13" xfId="0" applyFont="1" applyBorder="1" applyAlignment="1">
      <alignment vertical="top" wrapText="1"/>
    </xf>
    <xf numFmtId="0" fontId="5" fillId="4" borderId="13" xfId="0" applyFont="1" applyFill="1" applyBorder="1" applyAlignment="1">
      <alignment vertical="top" wrapText="1"/>
    </xf>
    <xf numFmtId="0" fontId="0" fillId="4" borderId="13" xfId="0" applyFill="1" applyBorder="1" applyAlignment="1">
      <alignment horizontal="center" vertical="top"/>
    </xf>
    <xf numFmtId="0" fontId="2" fillId="4" borderId="13" xfId="0" applyFont="1" applyFill="1" applyBorder="1" applyAlignment="1">
      <alignment horizontal="center" vertical="top"/>
    </xf>
    <xf numFmtId="0" fontId="2" fillId="0" borderId="0" xfId="0" applyFont="1" applyAlignment="1">
      <alignment horizontal="right"/>
    </xf>
    <xf numFmtId="0" fontId="19" fillId="0" borderId="0" xfId="0" applyFont="1"/>
    <xf numFmtId="0" fontId="2" fillId="0" borderId="13" xfId="0" applyFont="1" applyBorder="1" applyAlignment="1">
      <alignment vertical="top"/>
    </xf>
    <xf numFmtId="49" fontId="2" fillId="0" borderId="13" xfId="0" applyNumberFormat="1" applyFont="1" applyBorder="1" applyAlignment="1">
      <alignment horizontal="center" vertical="top" wrapText="1"/>
    </xf>
    <xf numFmtId="0" fontId="2" fillId="0" borderId="13" xfId="0" applyFont="1" applyBorder="1" applyAlignment="1">
      <alignment vertical="top" wrapText="1"/>
    </xf>
    <xf numFmtId="0" fontId="5" fillId="4" borderId="13" xfId="0" applyFont="1" applyFill="1" applyBorder="1" applyAlignment="1">
      <alignment vertical="top"/>
    </xf>
    <xf numFmtId="0" fontId="0" fillId="0" borderId="13" xfId="0" applyBorder="1" applyAlignment="1">
      <alignment vertical="top"/>
    </xf>
    <xf numFmtId="0" fontId="16" fillId="0" borderId="13" xfId="0" applyFont="1" applyBorder="1" applyAlignment="1">
      <alignment vertical="top" wrapText="1"/>
    </xf>
    <xf numFmtId="0" fontId="4" fillId="0" borderId="13" xfId="0" quotePrefix="1" applyFont="1" applyBorder="1" applyAlignment="1">
      <alignment horizontal="center" vertical="top"/>
    </xf>
    <xf numFmtId="0" fontId="4" fillId="4" borderId="13" xfId="0" quotePrefix="1" applyFont="1" applyFill="1" applyBorder="1" applyAlignment="1">
      <alignment horizontal="center" vertical="top"/>
    </xf>
    <xf numFmtId="0" fontId="2" fillId="0" borderId="13" xfId="0" applyFont="1" applyFill="1" applyBorder="1" applyAlignment="1">
      <alignment vertical="top" wrapText="1"/>
    </xf>
    <xf numFmtId="0" fontId="2" fillId="0" borderId="13" xfId="0" applyFont="1" applyFill="1" applyBorder="1" applyAlignment="1">
      <alignment horizontal="center" vertical="top"/>
    </xf>
    <xf numFmtId="0" fontId="5" fillId="4" borderId="13" xfId="0" applyFont="1" applyFill="1" applyBorder="1" applyAlignment="1">
      <alignment horizontal="center" vertical="top"/>
    </xf>
    <xf numFmtId="0" fontId="0" fillId="4" borderId="5" xfId="0" applyFill="1" applyBorder="1" applyAlignment="1">
      <alignment horizontal="center" vertical="top"/>
    </xf>
    <xf numFmtId="0" fontId="10"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4" borderId="14" xfId="0" applyFill="1" applyBorder="1" applyAlignment="1">
      <alignment horizontal="center" vertical="top"/>
    </xf>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2" fillId="0" borderId="14" xfId="0" applyFont="1" applyBorder="1" applyAlignment="1">
      <alignment horizontal="center" vertical="top"/>
    </xf>
    <xf numFmtId="0" fontId="2" fillId="0" borderId="14" xfId="0" applyFont="1" applyBorder="1" applyAlignment="1">
      <alignment vertical="top"/>
    </xf>
    <xf numFmtId="0" fontId="5" fillId="4" borderId="14" xfId="0" applyFont="1" applyFill="1" applyBorder="1" applyAlignment="1">
      <alignment vertical="top" wrapText="1"/>
    </xf>
    <xf numFmtId="0" fontId="2" fillId="4" borderId="14" xfId="0" applyFont="1" applyFill="1" applyBorder="1" applyAlignment="1">
      <alignment horizontal="center" vertical="top"/>
    </xf>
    <xf numFmtId="0" fontId="0" fillId="4" borderId="14" xfId="0" applyNumberFormat="1" applyFill="1" applyBorder="1" applyAlignment="1">
      <alignment horizontal="center" vertical="top"/>
    </xf>
    <xf numFmtId="0" fontId="10" fillId="0" borderId="15" xfId="0" applyFont="1" applyBorder="1" applyAlignment="1">
      <alignment horizontal="center" vertical="center"/>
    </xf>
    <xf numFmtId="0" fontId="2" fillId="0" borderId="15" xfId="0" applyFont="1" applyBorder="1" applyAlignment="1">
      <alignment horizontal="center" vertical="top"/>
    </xf>
    <xf numFmtId="49" fontId="2" fillId="0" borderId="15" xfId="0" applyNumberFormat="1" applyFont="1" applyBorder="1" applyAlignment="1">
      <alignment horizontal="center" vertical="top" wrapText="1"/>
    </xf>
    <xf numFmtId="0" fontId="0" fillId="0" borderId="15" xfId="0"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xf>
    <xf numFmtId="0" fontId="0" fillId="4" borderId="15" xfId="0" applyFill="1" applyBorder="1" applyAlignment="1">
      <alignment horizontal="center"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0" fontId="10"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vertical="top"/>
    </xf>
    <xf numFmtId="0" fontId="5" fillId="4" borderId="17" xfId="0" applyFont="1" applyFill="1" applyBorder="1" applyAlignment="1">
      <alignment vertical="top"/>
    </xf>
    <xf numFmtId="0" fontId="0" fillId="4" borderId="17" xfId="0" applyFill="1" applyBorder="1" applyAlignment="1">
      <alignment horizontal="center"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0000C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3581400</xdr:colOff>
          <xdr:row>0</xdr:row>
          <xdr:rowOff>83820</xdr:rowOff>
        </xdr:from>
        <xdr:to>
          <xdr:col>10</xdr:col>
          <xdr:colOff>281940</xdr:colOff>
          <xdr:row>0</xdr:row>
          <xdr:rowOff>1049020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1402080</xdr:colOff>
          <xdr:row>0</xdr:row>
          <xdr:rowOff>83820</xdr:rowOff>
        </xdr:from>
        <xdr:to>
          <xdr:col>9</xdr:col>
          <xdr:colOff>2164080</xdr:colOff>
          <xdr:row>0</xdr:row>
          <xdr:rowOff>1049020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388620</xdr:colOff>
          <xdr:row>0</xdr:row>
          <xdr:rowOff>83820</xdr:rowOff>
        </xdr:from>
        <xdr:to>
          <xdr:col>6</xdr:col>
          <xdr:colOff>701040</xdr:colOff>
          <xdr:row>0</xdr:row>
          <xdr:rowOff>1049020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1699260</xdr:colOff>
          <xdr:row>0</xdr:row>
          <xdr:rowOff>83820</xdr:rowOff>
        </xdr:from>
        <xdr:to>
          <xdr:col>6</xdr:col>
          <xdr:colOff>2461260</xdr:colOff>
          <xdr:row>0</xdr:row>
          <xdr:rowOff>1049020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822960</xdr:colOff>
          <xdr:row>0</xdr:row>
          <xdr:rowOff>83820</xdr:rowOff>
        </xdr:from>
        <xdr:to>
          <xdr:col>6</xdr:col>
          <xdr:colOff>1584960</xdr:colOff>
          <xdr:row>0</xdr:row>
          <xdr:rowOff>1049020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4</xdr:col>
          <xdr:colOff>350520</xdr:colOff>
          <xdr:row>0</xdr:row>
          <xdr:rowOff>1049020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xdr:colOff>
          <xdr:row>0</xdr:row>
          <xdr:rowOff>83820</xdr:rowOff>
        </xdr:from>
        <xdr:to>
          <xdr:col>9</xdr:col>
          <xdr:colOff>190500</xdr:colOff>
          <xdr:row>0</xdr:row>
          <xdr:rowOff>1049020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75562</xdr:colOff>
      <xdr:row>0</xdr:row>
      <xdr:rowOff>144781</xdr:rowOff>
    </xdr:from>
    <xdr:to>
      <xdr:col>14</xdr:col>
      <xdr:colOff>24762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421742" y="144781"/>
          <a:ext cx="132080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335280</xdr:colOff>
          <xdr:row>0</xdr:row>
          <xdr:rowOff>83820</xdr:rowOff>
        </xdr:from>
        <xdr:to>
          <xdr:col>9</xdr:col>
          <xdr:colOff>1097280</xdr:colOff>
          <xdr:row>0</xdr:row>
          <xdr:rowOff>1049020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2697480</xdr:colOff>
          <xdr:row>0</xdr:row>
          <xdr:rowOff>76200</xdr:rowOff>
        </xdr:from>
        <xdr:to>
          <xdr:col>7</xdr:col>
          <xdr:colOff>350520</xdr:colOff>
          <xdr:row>0</xdr:row>
          <xdr:rowOff>1041400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1049020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12</xdr:col>
          <xdr:colOff>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1059180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388620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274320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30480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144780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1059180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05"/>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6640625" customWidth="1"/>
    <col min="4" max="4" width="8.88671875" customWidth="1"/>
    <col min="5" max="5" width="6.33203125" bestFit="1" customWidth="1"/>
    <col min="6" max="6" width="6.5546875" customWidth="1"/>
    <col min="7" max="7" width="45.33203125" customWidth="1"/>
    <col min="8" max="8" width="8.6640625" customWidth="1"/>
    <col min="9" max="9" width="8.44140625" customWidth="1"/>
    <col min="10" max="10" width="59.21875" customWidth="1"/>
    <col min="11" max="11" width="6.44140625" bestFit="1" customWidth="1"/>
    <col min="12" max="12" width="8.5546875" customWidth="1"/>
    <col min="13" max="13" width="6" customWidth="1"/>
    <col min="14" max="14" width="5.44140625" customWidth="1"/>
  </cols>
  <sheetData>
    <row r="1" spans="1:14" ht="93" customHeight="1" x14ac:dyDescent="0.25">
      <c r="A1" s="74"/>
      <c r="B1" s="75" t="s">
        <v>242</v>
      </c>
      <c r="C1" s="76">
        <f>SUM(C2:C106)</f>
        <v>0</v>
      </c>
      <c r="D1" s="77"/>
      <c r="E1" s="77">
        <v>18</v>
      </c>
      <c r="F1" s="77"/>
      <c r="G1" s="78" t="s">
        <v>321</v>
      </c>
      <c r="H1" s="77" t="s">
        <v>496</v>
      </c>
      <c r="I1" s="77" t="s">
        <v>314</v>
      </c>
      <c r="J1" s="78" t="s">
        <v>321</v>
      </c>
      <c r="K1" s="79">
        <v>0</v>
      </c>
      <c r="L1" s="77">
        <v>49</v>
      </c>
      <c r="M1" s="77"/>
      <c r="N1" s="77"/>
    </row>
    <row r="2" spans="1:14" ht="40.200000000000003" customHeight="1" x14ac:dyDescent="0.25">
      <c r="B2" s="28" t="s">
        <v>236</v>
      </c>
      <c r="C2" s="28" t="s">
        <v>270</v>
      </c>
      <c r="D2" s="28" t="s">
        <v>2</v>
      </c>
      <c r="E2" s="34" t="s">
        <v>71</v>
      </c>
      <c r="F2" s="28" t="s">
        <v>318</v>
      </c>
      <c r="G2" s="35" t="s">
        <v>1</v>
      </c>
      <c r="H2" s="28" t="s">
        <v>255</v>
      </c>
      <c r="I2" s="28" t="s">
        <v>254</v>
      </c>
      <c r="J2" s="37" t="s">
        <v>248</v>
      </c>
      <c r="K2" s="28" t="s">
        <v>125</v>
      </c>
      <c r="L2" s="36" t="s">
        <v>4</v>
      </c>
      <c r="M2" s="36" t="s">
        <v>238</v>
      </c>
      <c r="N2" s="40" t="s">
        <v>258</v>
      </c>
    </row>
    <row r="3" spans="1:14" x14ac:dyDescent="0.25">
      <c r="B3" s="167"/>
      <c r="C3" s="176" t="s">
        <v>373</v>
      </c>
      <c r="D3" s="169"/>
      <c r="E3" s="168"/>
      <c r="F3" s="168"/>
      <c r="G3" s="177" t="s">
        <v>317</v>
      </c>
      <c r="H3" s="176"/>
      <c r="I3" s="176"/>
      <c r="J3" s="178" t="s">
        <v>247</v>
      </c>
      <c r="K3" s="179"/>
      <c r="L3" s="180">
        <v>1</v>
      </c>
      <c r="M3" s="180">
        <v>0</v>
      </c>
      <c r="N3" s="170">
        <v>0</v>
      </c>
    </row>
    <row r="4" spans="1:14" hidden="1" x14ac:dyDescent="0.25">
      <c r="B4" s="81" t="s">
        <v>234</v>
      </c>
      <c r="C4" s="82" t="s">
        <v>374</v>
      </c>
      <c r="D4" s="97"/>
      <c r="E4" s="82"/>
      <c r="F4" s="82"/>
      <c r="G4" s="98"/>
      <c r="H4" s="82"/>
      <c r="I4" s="82"/>
      <c r="J4" s="84"/>
      <c r="K4" s="85"/>
      <c r="L4" s="86"/>
      <c r="M4" s="86"/>
      <c r="N4" s="166"/>
    </row>
    <row r="5" spans="1:14" ht="26.4" hidden="1" x14ac:dyDescent="0.25">
      <c r="B5" s="145" t="s">
        <v>234</v>
      </c>
      <c r="C5" s="146" t="s">
        <v>374</v>
      </c>
      <c r="D5" s="156"/>
      <c r="E5" s="146"/>
      <c r="F5" s="146"/>
      <c r="G5" s="160" t="s">
        <v>376</v>
      </c>
      <c r="H5" s="146"/>
      <c r="I5" s="146"/>
      <c r="J5" s="150" t="s">
        <v>375</v>
      </c>
      <c r="K5" s="152"/>
      <c r="L5" s="52">
        <v>7</v>
      </c>
      <c r="M5" s="51">
        <v>1</v>
      </c>
      <c r="N5" s="47">
        <v>0</v>
      </c>
    </row>
    <row r="6" spans="1:14" hidden="1" x14ac:dyDescent="0.25">
      <c r="B6" s="145" t="s">
        <v>234</v>
      </c>
      <c r="C6" s="146" t="s">
        <v>377</v>
      </c>
      <c r="D6" s="147"/>
      <c r="E6" s="148"/>
      <c r="F6" s="148"/>
      <c r="G6" s="155"/>
      <c r="H6" s="146"/>
      <c r="I6" s="146"/>
      <c r="J6" s="150"/>
      <c r="K6" s="152"/>
      <c r="L6" s="51"/>
      <c r="M6" s="51"/>
      <c r="N6" s="47"/>
    </row>
    <row r="7" spans="1:14" ht="66" hidden="1" x14ac:dyDescent="0.25">
      <c r="B7" s="145" t="s">
        <v>234</v>
      </c>
      <c r="C7" s="146" t="s">
        <v>377</v>
      </c>
      <c r="D7" s="156"/>
      <c r="E7" s="146"/>
      <c r="F7" s="146"/>
      <c r="G7" s="160" t="s">
        <v>380</v>
      </c>
      <c r="H7" s="146"/>
      <c r="I7" s="146"/>
      <c r="J7" s="150" t="s">
        <v>378</v>
      </c>
      <c r="K7" s="152"/>
      <c r="L7" s="51">
        <v>6</v>
      </c>
      <c r="M7" s="52">
        <v>1</v>
      </c>
      <c r="N7" s="47">
        <v>0</v>
      </c>
    </row>
    <row r="8" spans="1:14" ht="79.2" hidden="1" x14ac:dyDescent="0.25">
      <c r="B8" s="145"/>
      <c r="C8" s="146" t="s">
        <v>377</v>
      </c>
      <c r="D8" s="147"/>
      <c r="E8" s="148"/>
      <c r="F8" s="148"/>
      <c r="G8" s="149" t="s">
        <v>381</v>
      </c>
      <c r="H8" s="146"/>
      <c r="I8" s="146"/>
      <c r="J8" s="150" t="s">
        <v>379</v>
      </c>
      <c r="K8" s="152"/>
      <c r="L8" s="51">
        <v>2</v>
      </c>
      <c r="M8" s="51">
        <v>1</v>
      </c>
      <c r="N8" s="47">
        <v>0</v>
      </c>
    </row>
    <row r="9" spans="1:14" hidden="1" x14ac:dyDescent="0.25">
      <c r="B9" s="145" t="s">
        <v>234</v>
      </c>
      <c r="C9" s="146" t="s">
        <v>382</v>
      </c>
      <c r="D9" s="147"/>
      <c r="E9" s="148"/>
      <c r="F9" s="148"/>
      <c r="G9" s="155"/>
      <c r="H9" s="146"/>
      <c r="I9" s="146"/>
      <c r="J9" s="150"/>
      <c r="K9" s="152"/>
      <c r="L9" s="51"/>
      <c r="M9" s="51"/>
      <c r="N9" s="47"/>
    </row>
    <row r="10" spans="1:14" ht="39.6" hidden="1" x14ac:dyDescent="0.25">
      <c r="B10" s="145" t="s">
        <v>234</v>
      </c>
      <c r="C10" s="146" t="s">
        <v>382</v>
      </c>
      <c r="D10" s="147"/>
      <c r="E10" s="146"/>
      <c r="F10" s="146"/>
      <c r="G10" s="160" t="s">
        <v>383</v>
      </c>
      <c r="H10" s="146"/>
      <c r="I10" s="146"/>
      <c r="J10" s="150" t="s">
        <v>316</v>
      </c>
      <c r="K10" s="152"/>
      <c r="L10" s="51">
        <v>2</v>
      </c>
      <c r="M10" s="51">
        <v>1</v>
      </c>
      <c r="N10" s="47">
        <v>0</v>
      </c>
    </row>
    <row r="11" spans="1:14" ht="39.6" hidden="1" x14ac:dyDescent="0.25">
      <c r="B11" s="145"/>
      <c r="C11" s="146" t="s">
        <v>382</v>
      </c>
      <c r="D11" s="147"/>
      <c r="E11" s="148"/>
      <c r="F11" s="148"/>
      <c r="G11" s="149" t="s">
        <v>385</v>
      </c>
      <c r="H11" s="161"/>
      <c r="I11" s="161"/>
      <c r="J11" s="150" t="s">
        <v>384</v>
      </c>
      <c r="K11" s="162"/>
      <c r="L11" s="51" t="s">
        <v>284</v>
      </c>
      <c r="M11" s="51">
        <v>1</v>
      </c>
      <c r="N11" s="47">
        <v>0</v>
      </c>
    </row>
    <row r="12" spans="1:14" hidden="1" x14ac:dyDescent="0.25">
      <c r="B12" s="145" t="s">
        <v>234</v>
      </c>
      <c r="C12" s="146" t="s">
        <v>386</v>
      </c>
      <c r="D12" s="147"/>
      <c r="E12" s="146"/>
      <c r="F12" s="146"/>
      <c r="G12" s="160"/>
      <c r="H12" s="146"/>
      <c r="I12" s="146"/>
      <c r="J12" s="150"/>
      <c r="K12" s="152"/>
      <c r="L12" s="51"/>
      <c r="M12" s="51"/>
      <c r="N12" s="47"/>
    </row>
    <row r="13" spans="1:14" ht="26.4" hidden="1" x14ac:dyDescent="0.25">
      <c r="B13" s="145" t="s">
        <v>234</v>
      </c>
      <c r="C13" s="146" t="s">
        <v>386</v>
      </c>
      <c r="D13" s="147"/>
      <c r="E13" s="148"/>
      <c r="F13" s="148"/>
      <c r="G13" s="160" t="s">
        <v>388</v>
      </c>
      <c r="H13" s="146"/>
      <c r="I13" s="146"/>
      <c r="J13" s="150" t="s">
        <v>387</v>
      </c>
      <c r="K13" s="152"/>
      <c r="L13" s="51">
        <v>6</v>
      </c>
      <c r="M13" s="51">
        <v>1</v>
      </c>
      <c r="N13" s="47">
        <v>0</v>
      </c>
    </row>
    <row r="14" spans="1:14" ht="39.6" hidden="1" x14ac:dyDescent="0.25">
      <c r="B14" s="145"/>
      <c r="C14" s="146" t="s">
        <v>386</v>
      </c>
      <c r="D14" s="147"/>
      <c r="E14" s="148"/>
      <c r="F14" s="148"/>
      <c r="G14" s="149" t="s">
        <v>389</v>
      </c>
      <c r="H14" s="146"/>
      <c r="I14" s="146"/>
      <c r="J14" s="150" t="s">
        <v>390</v>
      </c>
      <c r="K14" s="152"/>
      <c r="L14" s="52" t="s">
        <v>283</v>
      </c>
      <c r="M14" s="51">
        <v>1</v>
      </c>
      <c r="N14" s="47">
        <v>0</v>
      </c>
    </row>
    <row r="15" spans="1:14" hidden="1" x14ac:dyDescent="0.25">
      <c r="B15" s="145" t="s">
        <v>234</v>
      </c>
      <c r="C15" s="146" t="s">
        <v>391</v>
      </c>
      <c r="D15" s="147"/>
      <c r="E15" s="148"/>
      <c r="F15" s="148"/>
      <c r="G15" s="160"/>
      <c r="H15" s="146"/>
      <c r="I15" s="146"/>
      <c r="J15" s="150"/>
      <c r="K15" s="152"/>
      <c r="L15" s="52"/>
      <c r="M15" s="51"/>
      <c r="N15" s="47"/>
    </row>
    <row r="16" spans="1:14" ht="39.6" hidden="1" x14ac:dyDescent="0.25">
      <c r="B16" s="145" t="s">
        <v>234</v>
      </c>
      <c r="C16" s="146" t="s">
        <v>391</v>
      </c>
      <c r="D16" s="147"/>
      <c r="E16" s="148"/>
      <c r="F16" s="148"/>
      <c r="G16" s="160" t="s">
        <v>394</v>
      </c>
      <c r="H16" s="146"/>
      <c r="I16" s="146"/>
      <c r="J16" s="150" t="s">
        <v>256</v>
      </c>
      <c r="K16" s="152"/>
      <c r="L16" s="51">
        <v>6</v>
      </c>
      <c r="M16" s="51">
        <v>1</v>
      </c>
      <c r="N16" s="47">
        <v>0</v>
      </c>
    </row>
    <row r="17" spans="2:14" ht="39.6" hidden="1" x14ac:dyDescent="0.25">
      <c r="B17" s="145"/>
      <c r="C17" s="146" t="s">
        <v>391</v>
      </c>
      <c r="D17" s="147"/>
      <c r="E17" s="148"/>
      <c r="F17" s="148"/>
      <c r="G17" s="149" t="s">
        <v>480</v>
      </c>
      <c r="H17" s="146"/>
      <c r="I17" s="146"/>
      <c r="J17" s="150" t="s">
        <v>392</v>
      </c>
      <c r="K17" s="152"/>
      <c r="L17" s="52" t="s">
        <v>283</v>
      </c>
      <c r="M17" s="51">
        <v>1</v>
      </c>
      <c r="N17" s="47">
        <v>0</v>
      </c>
    </row>
    <row r="18" spans="2:14" hidden="1" x14ac:dyDescent="0.25">
      <c r="B18" s="145" t="s">
        <v>234</v>
      </c>
      <c r="C18" s="146" t="s">
        <v>393</v>
      </c>
      <c r="D18" s="147"/>
      <c r="E18" s="148"/>
      <c r="F18" s="148"/>
      <c r="G18" s="160"/>
      <c r="H18" s="146"/>
      <c r="I18" s="146"/>
      <c r="J18" s="150"/>
      <c r="K18" s="152"/>
      <c r="L18" s="51"/>
      <c r="M18" s="51"/>
      <c r="N18" s="47"/>
    </row>
    <row r="19" spans="2:14" ht="26.4" hidden="1" x14ac:dyDescent="0.25">
      <c r="B19" s="145" t="s">
        <v>234</v>
      </c>
      <c r="C19" s="146" t="s">
        <v>393</v>
      </c>
      <c r="D19" s="156" t="s">
        <v>308</v>
      </c>
      <c r="E19" s="148" t="s">
        <v>237</v>
      </c>
      <c r="F19" s="148">
        <v>0</v>
      </c>
      <c r="G19" s="160" t="s">
        <v>395</v>
      </c>
      <c r="H19" s="146"/>
      <c r="I19" s="146"/>
      <c r="J19" s="150" t="s">
        <v>464</v>
      </c>
      <c r="K19" s="152"/>
      <c r="L19" s="52">
        <v>3</v>
      </c>
      <c r="M19" s="51">
        <v>3</v>
      </c>
      <c r="N19" s="47">
        <v>0</v>
      </c>
    </row>
    <row r="20" spans="2:14" ht="39.6" hidden="1" x14ac:dyDescent="0.25">
      <c r="B20" s="145"/>
      <c r="C20" s="146" t="s">
        <v>393</v>
      </c>
      <c r="D20" s="156" t="s">
        <v>315</v>
      </c>
      <c r="E20" s="148" t="s">
        <v>237</v>
      </c>
      <c r="F20" s="148">
        <v>0</v>
      </c>
      <c r="G20" s="149" t="s">
        <v>396</v>
      </c>
      <c r="H20" s="146"/>
      <c r="I20" s="146"/>
      <c r="J20" s="150" t="s">
        <v>465</v>
      </c>
      <c r="K20" s="52"/>
      <c r="L20" s="52">
        <v>6</v>
      </c>
      <c r="M20" s="51">
        <v>4</v>
      </c>
      <c r="N20" s="47">
        <v>0</v>
      </c>
    </row>
    <row r="21" spans="2:14" ht="39.6" hidden="1" x14ac:dyDescent="0.25">
      <c r="B21" s="145" t="s">
        <v>234</v>
      </c>
      <c r="C21" s="146" t="s">
        <v>393</v>
      </c>
      <c r="D21" s="156" t="s">
        <v>399</v>
      </c>
      <c r="E21" s="148" t="s">
        <v>237</v>
      </c>
      <c r="F21" s="148">
        <v>0</v>
      </c>
      <c r="G21" s="160" t="s">
        <v>398</v>
      </c>
      <c r="H21" s="146"/>
      <c r="I21" s="146"/>
      <c r="J21" s="150" t="s">
        <v>466</v>
      </c>
      <c r="K21" s="51"/>
      <c r="L21" s="52">
        <v>6</v>
      </c>
      <c r="M21" s="51">
        <v>4</v>
      </c>
      <c r="N21" s="47">
        <v>0</v>
      </c>
    </row>
    <row r="22" spans="2:14" ht="39.6" hidden="1" x14ac:dyDescent="0.25">
      <c r="B22" s="145"/>
      <c r="C22" s="146" t="s">
        <v>393</v>
      </c>
      <c r="D22" s="156" t="s">
        <v>399</v>
      </c>
      <c r="E22" s="148" t="s">
        <v>237</v>
      </c>
      <c r="F22" s="148">
        <v>0</v>
      </c>
      <c r="G22" s="149" t="s">
        <v>397</v>
      </c>
      <c r="H22" s="146"/>
      <c r="I22" s="146"/>
      <c r="J22" s="150" t="s">
        <v>467</v>
      </c>
      <c r="K22" s="52"/>
      <c r="L22" s="51" t="s">
        <v>283</v>
      </c>
      <c r="M22" s="51">
        <v>4</v>
      </c>
      <c r="N22" s="47">
        <v>0</v>
      </c>
    </row>
    <row r="23" spans="2:14" hidden="1" x14ac:dyDescent="0.25">
      <c r="B23" s="145" t="s">
        <v>234</v>
      </c>
      <c r="C23" s="146" t="s">
        <v>400</v>
      </c>
      <c r="D23" s="147"/>
      <c r="E23" s="148"/>
      <c r="F23" s="148"/>
      <c r="G23" s="155"/>
      <c r="H23" s="146"/>
      <c r="I23" s="146"/>
      <c r="J23" s="150"/>
      <c r="K23" s="52"/>
      <c r="L23" s="52"/>
      <c r="M23" s="51"/>
      <c r="N23" s="47"/>
    </row>
    <row r="24" spans="2:14" ht="26.4" hidden="1" x14ac:dyDescent="0.25">
      <c r="B24" s="145" t="s">
        <v>234</v>
      </c>
      <c r="C24" s="146" t="s">
        <v>400</v>
      </c>
      <c r="D24" s="156"/>
      <c r="E24" s="148"/>
      <c r="F24" s="148"/>
      <c r="G24" s="160" t="s">
        <v>401</v>
      </c>
      <c r="H24" s="146"/>
      <c r="I24" s="146"/>
      <c r="J24" s="150"/>
      <c r="K24" s="52"/>
      <c r="L24" s="52"/>
      <c r="M24" s="51"/>
      <c r="N24" s="47"/>
    </row>
    <row r="25" spans="2:14" ht="26.4" hidden="1" x14ac:dyDescent="0.25">
      <c r="B25" s="145" t="s">
        <v>234</v>
      </c>
      <c r="C25" s="146" t="s">
        <v>400</v>
      </c>
      <c r="D25" s="156" t="s">
        <v>324</v>
      </c>
      <c r="E25" s="146" t="s">
        <v>235</v>
      </c>
      <c r="F25" s="148"/>
      <c r="G25" s="157" t="s">
        <v>376</v>
      </c>
      <c r="H25" s="146"/>
      <c r="I25" s="146"/>
      <c r="J25" s="150" t="s">
        <v>375</v>
      </c>
      <c r="K25" s="52"/>
      <c r="L25" s="52">
        <v>7</v>
      </c>
      <c r="M25" s="51">
        <v>1</v>
      </c>
      <c r="N25" s="47">
        <v>0</v>
      </c>
    </row>
    <row r="26" spans="2:14" ht="52.8" hidden="1" x14ac:dyDescent="0.25">
      <c r="B26" s="145" t="s">
        <v>234</v>
      </c>
      <c r="C26" s="146" t="s">
        <v>400</v>
      </c>
      <c r="D26" s="156" t="s">
        <v>309</v>
      </c>
      <c r="E26" s="146" t="s">
        <v>235</v>
      </c>
      <c r="F26" s="148"/>
      <c r="G26" s="157" t="s">
        <v>481</v>
      </c>
      <c r="H26" s="146"/>
      <c r="I26" s="146"/>
      <c r="J26" s="150" t="s">
        <v>402</v>
      </c>
      <c r="K26" s="51"/>
      <c r="L26" s="52">
        <v>4</v>
      </c>
      <c r="M26" s="51">
        <v>1</v>
      </c>
      <c r="N26" s="47">
        <v>0</v>
      </c>
    </row>
    <row r="27" spans="2:14" ht="66" hidden="1" x14ac:dyDescent="0.25">
      <c r="B27" s="145" t="s">
        <v>234</v>
      </c>
      <c r="C27" s="146" t="s">
        <v>400</v>
      </c>
      <c r="D27" s="156" t="s">
        <v>326</v>
      </c>
      <c r="E27" s="148" t="s">
        <v>235</v>
      </c>
      <c r="F27" s="148"/>
      <c r="G27" s="163" t="s">
        <v>403</v>
      </c>
      <c r="H27" s="164"/>
      <c r="I27" s="164"/>
      <c r="J27" s="158" t="s">
        <v>404</v>
      </c>
      <c r="K27" s="51"/>
      <c r="L27" s="51">
        <v>5</v>
      </c>
      <c r="M27" s="51">
        <v>1</v>
      </c>
      <c r="N27" s="47">
        <v>0</v>
      </c>
    </row>
    <row r="28" spans="2:14" ht="39.6" hidden="1" x14ac:dyDescent="0.25">
      <c r="B28" s="145" t="s">
        <v>234</v>
      </c>
      <c r="C28" s="146" t="s">
        <v>400</v>
      </c>
      <c r="D28" s="147"/>
      <c r="E28" s="148"/>
      <c r="F28" s="148"/>
      <c r="G28" s="157" t="s">
        <v>407</v>
      </c>
      <c r="H28" s="148"/>
      <c r="I28" s="148"/>
      <c r="J28" s="158" t="s">
        <v>406</v>
      </c>
      <c r="K28" s="51"/>
      <c r="L28" s="51">
        <v>-4</v>
      </c>
      <c r="M28" s="51">
        <v>0</v>
      </c>
      <c r="N28" s="47">
        <v>0</v>
      </c>
    </row>
    <row r="29" spans="2:14" ht="39.6" hidden="1" x14ac:dyDescent="0.25">
      <c r="B29" s="145" t="s">
        <v>234</v>
      </c>
      <c r="C29" s="146" t="s">
        <v>400</v>
      </c>
      <c r="D29" s="156" t="s">
        <v>327</v>
      </c>
      <c r="E29" s="146" t="s">
        <v>235</v>
      </c>
      <c r="F29" s="146"/>
      <c r="G29" s="157" t="s">
        <v>410</v>
      </c>
      <c r="H29" s="146"/>
      <c r="I29" s="146"/>
      <c r="J29" s="150" t="s">
        <v>405</v>
      </c>
      <c r="K29" s="51"/>
      <c r="L29" s="51">
        <v>1</v>
      </c>
      <c r="M29" s="51">
        <v>1</v>
      </c>
      <c r="N29" s="47">
        <v>0</v>
      </c>
    </row>
    <row r="30" spans="2:14" hidden="1" x14ac:dyDescent="0.25">
      <c r="B30" s="145" t="s">
        <v>234</v>
      </c>
      <c r="C30" s="146" t="s">
        <v>400</v>
      </c>
      <c r="D30" s="147"/>
      <c r="E30" s="146"/>
      <c r="F30" s="146"/>
      <c r="G30" s="155" t="s">
        <v>409</v>
      </c>
      <c r="H30" s="146"/>
      <c r="I30" s="146"/>
      <c r="J30" s="150" t="s">
        <v>408</v>
      </c>
      <c r="K30" s="152"/>
      <c r="L30" s="51">
        <v>3</v>
      </c>
      <c r="M30" s="51">
        <v>0</v>
      </c>
      <c r="N30" s="47">
        <v>0</v>
      </c>
    </row>
    <row r="31" spans="2:14" hidden="1" x14ac:dyDescent="0.25">
      <c r="B31" s="145" t="s">
        <v>234</v>
      </c>
      <c r="C31" s="146" t="s">
        <v>411</v>
      </c>
      <c r="D31" s="147"/>
      <c r="E31" s="148"/>
      <c r="F31" s="148"/>
      <c r="G31" s="159"/>
      <c r="H31" s="148"/>
      <c r="I31" s="148"/>
      <c r="J31" s="158"/>
      <c r="K31" s="151"/>
      <c r="L31" s="51"/>
      <c r="M31" s="51"/>
      <c r="N31" s="47"/>
    </row>
    <row r="32" spans="2:14" ht="26.4" hidden="1" x14ac:dyDescent="0.25">
      <c r="B32" s="145" t="s">
        <v>234</v>
      </c>
      <c r="C32" s="146" t="s">
        <v>411</v>
      </c>
      <c r="D32" s="147"/>
      <c r="E32" s="146"/>
      <c r="F32" s="146"/>
      <c r="G32" s="160" t="s">
        <v>482</v>
      </c>
      <c r="H32" s="146"/>
      <c r="I32" s="146"/>
      <c r="J32" s="150"/>
      <c r="K32" s="152"/>
      <c r="L32" s="51"/>
      <c r="M32" s="51"/>
      <c r="N32" s="47"/>
    </row>
    <row r="33" spans="2:14" hidden="1" x14ac:dyDescent="0.25">
      <c r="B33" s="145" t="s">
        <v>234</v>
      </c>
      <c r="C33" s="146" t="s">
        <v>411</v>
      </c>
      <c r="D33" s="156" t="s">
        <v>426</v>
      </c>
      <c r="E33" s="148" t="s">
        <v>237</v>
      </c>
      <c r="F33" s="148"/>
      <c r="G33" s="157" t="s">
        <v>412</v>
      </c>
      <c r="H33" s="148"/>
      <c r="I33" s="148"/>
      <c r="J33" s="158" t="s">
        <v>328</v>
      </c>
      <c r="K33" s="151"/>
      <c r="L33" s="51" t="s">
        <v>284</v>
      </c>
      <c r="M33" s="51">
        <v>1</v>
      </c>
      <c r="N33" s="47">
        <v>0</v>
      </c>
    </row>
    <row r="34" spans="2:14" hidden="1" x14ac:dyDescent="0.25">
      <c r="B34" s="145" t="s">
        <v>234</v>
      </c>
      <c r="C34" s="146" t="s">
        <v>411</v>
      </c>
      <c r="D34" s="156" t="s">
        <v>426</v>
      </c>
      <c r="E34" s="148" t="s">
        <v>246</v>
      </c>
      <c r="F34" s="148"/>
      <c r="G34" s="157" t="s">
        <v>413</v>
      </c>
      <c r="H34" s="148"/>
      <c r="I34" s="148"/>
      <c r="J34" s="158" t="s">
        <v>330</v>
      </c>
      <c r="K34" s="151"/>
      <c r="L34" s="51" t="s">
        <v>329</v>
      </c>
      <c r="M34" s="51">
        <v>1</v>
      </c>
      <c r="N34" s="47">
        <v>0</v>
      </c>
    </row>
    <row r="35" spans="2:14" hidden="1" x14ac:dyDescent="0.25">
      <c r="B35" s="145" t="s">
        <v>234</v>
      </c>
      <c r="C35" s="146" t="s">
        <v>411</v>
      </c>
      <c r="D35" s="156" t="s">
        <v>427</v>
      </c>
      <c r="E35" s="148" t="s">
        <v>237</v>
      </c>
      <c r="F35" s="148"/>
      <c r="G35" s="157" t="s">
        <v>414</v>
      </c>
      <c r="H35" s="148"/>
      <c r="I35" s="148"/>
      <c r="J35" s="158" t="s">
        <v>331</v>
      </c>
      <c r="K35" s="151"/>
      <c r="L35" s="51" t="s">
        <v>329</v>
      </c>
      <c r="M35" s="51">
        <v>1</v>
      </c>
      <c r="N35" s="47">
        <v>0</v>
      </c>
    </row>
    <row r="36" spans="2:14" hidden="1" x14ac:dyDescent="0.25">
      <c r="B36" s="145" t="s">
        <v>234</v>
      </c>
      <c r="C36" s="146" t="s">
        <v>411</v>
      </c>
      <c r="D36" s="156" t="s">
        <v>427</v>
      </c>
      <c r="E36" s="148" t="s">
        <v>246</v>
      </c>
      <c r="F36" s="148"/>
      <c r="G36" s="157" t="s">
        <v>415</v>
      </c>
      <c r="H36" s="148"/>
      <c r="I36" s="148"/>
      <c r="J36" s="158" t="s">
        <v>332</v>
      </c>
      <c r="K36" s="151"/>
      <c r="L36" s="51" t="s">
        <v>329</v>
      </c>
      <c r="M36" s="51">
        <v>1</v>
      </c>
      <c r="N36" s="47">
        <v>0</v>
      </c>
    </row>
    <row r="37" spans="2:14" hidden="1" x14ac:dyDescent="0.25">
      <c r="B37" s="145" t="s">
        <v>234</v>
      </c>
      <c r="C37" s="146" t="s">
        <v>411</v>
      </c>
      <c r="D37" s="156" t="s">
        <v>428</v>
      </c>
      <c r="E37" s="148" t="s">
        <v>237</v>
      </c>
      <c r="F37" s="148"/>
      <c r="G37" s="157" t="s">
        <v>416</v>
      </c>
      <c r="H37" s="148"/>
      <c r="I37" s="148"/>
      <c r="J37" s="158" t="s">
        <v>333</v>
      </c>
      <c r="K37" s="151"/>
      <c r="L37" s="51" t="s">
        <v>329</v>
      </c>
      <c r="M37" s="51">
        <v>1</v>
      </c>
      <c r="N37" s="47">
        <v>0</v>
      </c>
    </row>
    <row r="38" spans="2:14" hidden="1" x14ac:dyDescent="0.25">
      <c r="B38" s="145" t="s">
        <v>234</v>
      </c>
      <c r="C38" s="146" t="s">
        <v>411</v>
      </c>
      <c r="D38" s="156" t="s">
        <v>428</v>
      </c>
      <c r="E38" s="148" t="s">
        <v>246</v>
      </c>
      <c r="F38" s="148"/>
      <c r="G38" s="157" t="s">
        <v>417</v>
      </c>
      <c r="H38" s="148"/>
      <c r="I38" s="148"/>
      <c r="J38" s="158" t="s">
        <v>334</v>
      </c>
      <c r="K38" s="151"/>
      <c r="L38" s="47" t="s">
        <v>329</v>
      </c>
      <c r="M38" s="47">
        <v>1</v>
      </c>
      <c r="N38" s="47">
        <v>0</v>
      </c>
    </row>
    <row r="39" spans="2:14" hidden="1" x14ac:dyDescent="0.25">
      <c r="B39" s="145" t="s">
        <v>234</v>
      </c>
      <c r="C39" s="146" t="s">
        <v>411</v>
      </c>
      <c r="D39" s="156" t="s">
        <v>429</v>
      </c>
      <c r="E39" s="148" t="s">
        <v>237</v>
      </c>
      <c r="F39" s="148"/>
      <c r="G39" s="157" t="s">
        <v>418</v>
      </c>
      <c r="H39" s="148"/>
      <c r="I39" s="148"/>
      <c r="J39" s="158" t="s">
        <v>335</v>
      </c>
      <c r="K39" s="151"/>
      <c r="L39" s="51" t="s">
        <v>329</v>
      </c>
      <c r="M39" s="51">
        <v>1</v>
      </c>
      <c r="N39" s="47">
        <v>0</v>
      </c>
    </row>
    <row r="40" spans="2:14" hidden="1" x14ac:dyDescent="0.25">
      <c r="B40" s="145" t="s">
        <v>234</v>
      </c>
      <c r="C40" s="146" t="s">
        <v>411</v>
      </c>
      <c r="D40" s="156" t="s">
        <v>429</v>
      </c>
      <c r="E40" s="148" t="s">
        <v>246</v>
      </c>
      <c r="F40" s="146"/>
      <c r="G40" s="157" t="s">
        <v>419</v>
      </c>
      <c r="H40" s="148"/>
      <c r="I40" s="148"/>
      <c r="J40" s="158" t="s">
        <v>336</v>
      </c>
      <c r="K40" s="151"/>
      <c r="L40" s="47" t="s">
        <v>329</v>
      </c>
      <c r="M40" s="47">
        <v>1</v>
      </c>
      <c r="N40" s="47">
        <v>0</v>
      </c>
    </row>
    <row r="41" spans="2:14" hidden="1" x14ac:dyDescent="0.25">
      <c r="B41" s="145" t="s">
        <v>234</v>
      </c>
      <c r="C41" s="146" t="s">
        <v>411</v>
      </c>
      <c r="D41" s="156" t="s">
        <v>301</v>
      </c>
      <c r="E41" s="148" t="s">
        <v>237</v>
      </c>
      <c r="F41" s="148"/>
      <c r="G41" s="157" t="s">
        <v>420</v>
      </c>
      <c r="H41" s="148"/>
      <c r="I41" s="148"/>
      <c r="J41" s="158" t="s">
        <v>337</v>
      </c>
      <c r="K41" s="151"/>
      <c r="L41" s="47" t="s">
        <v>329</v>
      </c>
      <c r="M41" s="47">
        <v>1</v>
      </c>
      <c r="N41" s="47">
        <v>0</v>
      </c>
    </row>
    <row r="42" spans="2:14" hidden="1" x14ac:dyDescent="0.25">
      <c r="B42" s="145" t="s">
        <v>234</v>
      </c>
      <c r="C42" s="146" t="s">
        <v>411</v>
      </c>
      <c r="D42" s="156" t="s">
        <v>301</v>
      </c>
      <c r="E42" s="148" t="s">
        <v>246</v>
      </c>
      <c r="F42" s="146"/>
      <c r="G42" s="157" t="s">
        <v>421</v>
      </c>
      <c r="H42" s="148"/>
      <c r="I42" s="148"/>
      <c r="J42" s="158" t="s">
        <v>338</v>
      </c>
      <c r="K42" s="151"/>
      <c r="L42" s="47" t="s">
        <v>329</v>
      </c>
      <c r="M42" s="47">
        <v>1</v>
      </c>
      <c r="N42" s="47">
        <v>0</v>
      </c>
    </row>
    <row r="43" spans="2:14" hidden="1" x14ac:dyDescent="0.25">
      <c r="B43" s="145" t="s">
        <v>234</v>
      </c>
      <c r="C43" s="146" t="s">
        <v>411</v>
      </c>
      <c r="D43" s="156" t="s">
        <v>430</v>
      </c>
      <c r="E43" s="148" t="s">
        <v>237</v>
      </c>
      <c r="F43" s="148"/>
      <c r="G43" s="157" t="s">
        <v>422</v>
      </c>
      <c r="H43" s="148"/>
      <c r="I43" s="148"/>
      <c r="J43" s="158" t="s">
        <v>339</v>
      </c>
      <c r="K43" s="151"/>
      <c r="L43" s="47" t="s">
        <v>329</v>
      </c>
      <c r="M43" s="47">
        <v>1</v>
      </c>
      <c r="N43" s="47">
        <v>0</v>
      </c>
    </row>
    <row r="44" spans="2:14" hidden="1" x14ac:dyDescent="0.25">
      <c r="B44" s="145" t="s">
        <v>234</v>
      </c>
      <c r="C44" s="146" t="s">
        <v>411</v>
      </c>
      <c r="D44" s="156" t="s">
        <v>430</v>
      </c>
      <c r="E44" s="148" t="s">
        <v>246</v>
      </c>
      <c r="F44" s="148"/>
      <c r="G44" s="157" t="s">
        <v>423</v>
      </c>
      <c r="H44" s="148"/>
      <c r="I44" s="148"/>
      <c r="J44" s="158" t="s">
        <v>340</v>
      </c>
      <c r="K44" s="165"/>
      <c r="L44" s="47" t="s">
        <v>329</v>
      </c>
      <c r="M44" s="47">
        <v>1</v>
      </c>
      <c r="N44" s="47">
        <v>0</v>
      </c>
    </row>
    <row r="45" spans="2:14" hidden="1" x14ac:dyDescent="0.25">
      <c r="B45" s="145" t="s">
        <v>234</v>
      </c>
      <c r="C45" s="146" t="s">
        <v>411</v>
      </c>
      <c r="D45" s="156" t="s">
        <v>431</v>
      </c>
      <c r="E45" s="148" t="s">
        <v>237</v>
      </c>
      <c r="F45" s="148"/>
      <c r="G45" s="157" t="s">
        <v>424</v>
      </c>
      <c r="H45" s="148"/>
      <c r="I45" s="148"/>
      <c r="J45" s="158" t="s">
        <v>341</v>
      </c>
      <c r="K45" s="151"/>
      <c r="L45" s="47" t="s">
        <v>329</v>
      </c>
      <c r="M45" s="47">
        <v>1</v>
      </c>
      <c r="N45" s="47">
        <v>0</v>
      </c>
    </row>
    <row r="46" spans="2:14" hidden="1" x14ac:dyDescent="0.25">
      <c r="B46" s="145" t="s">
        <v>234</v>
      </c>
      <c r="C46" s="146" t="s">
        <v>411</v>
      </c>
      <c r="D46" s="156" t="s">
        <v>431</v>
      </c>
      <c r="E46" s="148" t="s">
        <v>246</v>
      </c>
      <c r="F46" s="148"/>
      <c r="G46" s="157" t="s">
        <v>425</v>
      </c>
      <c r="H46" s="148"/>
      <c r="I46" s="148"/>
      <c r="J46" s="158" t="s">
        <v>342</v>
      </c>
      <c r="K46" s="151"/>
      <c r="L46" s="47" t="s">
        <v>329</v>
      </c>
      <c r="M46" s="47">
        <v>1</v>
      </c>
      <c r="N46" s="47">
        <v>0</v>
      </c>
    </row>
    <row r="47" spans="2:14" hidden="1" x14ac:dyDescent="0.25">
      <c r="B47" s="145" t="s">
        <v>234</v>
      </c>
      <c r="C47" s="146" t="s">
        <v>411</v>
      </c>
      <c r="D47" s="156" t="s">
        <v>432</v>
      </c>
      <c r="E47" s="148" t="s">
        <v>237</v>
      </c>
      <c r="F47" s="148"/>
      <c r="G47" s="157" t="s">
        <v>446</v>
      </c>
      <c r="H47" s="148"/>
      <c r="I47" s="148"/>
      <c r="J47" s="158" t="s">
        <v>434</v>
      </c>
      <c r="K47" s="151"/>
      <c r="L47" s="47" t="s">
        <v>329</v>
      </c>
      <c r="M47" s="47">
        <v>1</v>
      </c>
      <c r="N47" s="47">
        <v>0</v>
      </c>
    </row>
    <row r="48" spans="2:14" hidden="1" x14ac:dyDescent="0.25">
      <c r="B48" s="145" t="s">
        <v>234</v>
      </c>
      <c r="C48" s="146" t="s">
        <v>411</v>
      </c>
      <c r="D48" s="156" t="s">
        <v>432</v>
      </c>
      <c r="E48" s="148" t="s">
        <v>246</v>
      </c>
      <c r="F48" s="148"/>
      <c r="G48" s="157" t="s">
        <v>447</v>
      </c>
      <c r="H48" s="148"/>
      <c r="I48" s="148"/>
      <c r="J48" s="158" t="s">
        <v>435</v>
      </c>
      <c r="K48" s="151"/>
      <c r="L48" s="47" t="s">
        <v>329</v>
      </c>
      <c r="M48" s="47">
        <v>1</v>
      </c>
      <c r="N48" s="47">
        <v>0</v>
      </c>
    </row>
    <row r="49" spans="2:14" hidden="1" x14ac:dyDescent="0.25">
      <c r="B49" s="145" t="s">
        <v>234</v>
      </c>
      <c r="C49" s="146" t="s">
        <v>411</v>
      </c>
      <c r="D49" s="156" t="s">
        <v>433</v>
      </c>
      <c r="E49" s="148" t="s">
        <v>237</v>
      </c>
      <c r="F49" s="148"/>
      <c r="G49" s="157" t="s">
        <v>448</v>
      </c>
      <c r="H49" s="148"/>
      <c r="I49" s="148"/>
      <c r="J49" s="158" t="s">
        <v>436</v>
      </c>
      <c r="K49" s="151"/>
      <c r="L49" s="47" t="s">
        <v>329</v>
      </c>
      <c r="M49" s="47">
        <v>1</v>
      </c>
      <c r="N49" s="47">
        <v>0</v>
      </c>
    </row>
    <row r="50" spans="2:14" ht="26.4" hidden="1" x14ac:dyDescent="0.25">
      <c r="B50" s="145" t="s">
        <v>234</v>
      </c>
      <c r="C50" s="146" t="s">
        <v>411</v>
      </c>
      <c r="D50" s="156" t="s">
        <v>433</v>
      </c>
      <c r="E50" s="148" t="s">
        <v>246</v>
      </c>
      <c r="F50" s="148"/>
      <c r="G50" s="157" t="s">
        <v>449</v>
      </c>
      <c r="H50" s="148"/>
      <c r="I50" s="148"/>
      <c r="J50" s="158" t="s">
        <v>437</v>
      </c>
      <c r="K50" s="151"/>
      <c r="L50" s="47" t="s">
        <v>329</v>
      </c>
      <c r="M50" s="47">
        <v>1</v>
      </c>
      <c r="N50" s="47">
        <v>0</v>
      </c>
    </row>
    <row r="51" spans="2:14" hidden="1" x14ac:dyDescent="0.25">
      <c r="B51" s="145" t="s">
        <v>234</v>
      </c>
      <c r="C51" s="146" t="s">
        <v>411</v>
      </c>
      <c r="D51" s="156" t="s">
        <v>443</v>
      </c>
      <c r="E51" s="148" t="s">
        <v>237</v>
      </c>
      <c r="F51" s="148"/>
      <c r="G51" s="157" t="s">
        <v>450</v>
      </c>
      <c r="H51" s="148"/>
      <c r="I51" s="148"/>
      <c r="J51" s="158" t="s">
        <v>438</v>
      </c>
      <c r="K51" s="151"/>
      <c r="L51" s="47" t="s">
        <v>329</v>
      </c>
      <c r="M51" s="47">
        <v>1</v>
      </c>
      <c r="N51" s="47">
        <v>0</v>
      </c>
    </row>
    <row r="52" spans="2:14" hidden="1" x14ac:dyDescent="0.25">
      <c r="B52" s="145" t="s">
        <v>234</v>
      </c>
      <c r="C52" s="146" t="s">
        <v>411</v>
      </c>
      <c r="D52" s="156" t="s">
        <v>443</v>
      </c>
      <c r="E52" s="148" t="s">
        <v>246</v>
      </c>
      <c r="F52" s="148"/>
      <c r="G52" s="157" t="s">
        <v>451</v>
      </c>
      <c r="H52" s="148"/>
      <c r="I52" s="148"/>
      <c r="J52" s="158" t="s">
        <v>439</v>
      </c>
      <c r="K52" s="151"/>
      <c r="L52" s="47" t="s">
        <v>329</v>
      </c>
      <c r="M52" s="47">
        <v>1</v>
      </c>
      <c r="N52" s="47">
        <v>0</v>
      </c>
    </row>
    <row r="53" spans="2:14" hidden="1" x14ac:dyDescent="0.25">
      <c r="B53" s="145" t="s">
        <v>234</v>
      </c>
      <c r="C53" s="146" t="s">
        <v>411</v>
      </c>
      <c r="D53" s="156" t="s">
        <v>444</v>
      </c>
      <c r="E53" s="148" t="s">
        <v>237</v>
      </c>
      <c r="F53" s="148"/>
      <c r="G53" s="157" t="s">
        <v>452</v>
      </c>
      <c r="H53" s="148"/>
      <c r="I53" s="148"/>
      <c r="J53" s="158" t="s">
        <v>440</v>
      </c>
      <c r="K53" s="151"/>
      <c r="L53" s="47" t="s">
        <v>329</v>
      </c>
      <c r="M53" s="47">
        <v>1</v>
      </c>
      <c r="N53" s="47">
        <v>0</v>
      </c>
    </row>
    <row r="54" spans="2:14" hidden="1" x14ac:dyDescent="0.25">
      <c r="B54" s="145" t="s">
        <v>234</v>
      </c>
      <c r="C54" s="146" t="s">
        <v>411</v>
      </c>
      <c r="D54" s="156" t="s">
        <v>444</v>
      </c>
      <c r="E54" s="148" t="s">
        <v>246</v>
      </c>
      <c r="F54" s="148"/>
      <c r="G54" s="157" t="s">
        <v>453</v>
      </c>
      <c r="H54" s="148"/>
      <c r="I54" s="148"/>
      <c r="J54" s="158" t="s">
        <v>441</v>
      </c>
      <c r="K54" s="151"/>
      <c r="L54" s="47" t="s">
        <v>329</v>
      </c>
      <c r="M54" s="47">
        <v>1</v>
      </c>
      <c r="N54" s="47">
        <v>0</v>
      </c>
    </row>
    <row r="55" spans="2:14" ht="26.4" hidden="1" x14ac:dyDescent="0.25">
      <c r="B55" s="145" t="s">
        <v>234</v>
      </c>
      <c r="C55" s="146" t="s">
        <v>411</v>
      </c>
      <c r="D55" s="156" t="s">
        <v>445</v>
      </c>
      <c r="E55" s="146" t="s">
        <v>237</v>
      </c>
      <c r="F55" s="148"/>
      <c r="G55" s="157" t="s">
        <v>454</v>
      </c>
      <c r="H55" s="148"/>
      <c r="I55" s="148"/>
      <c r="J55" s="158" t="s">
        <v>442</v>
      </c>
      <c r="K55" s="151"/>
      <c r="L55" s="47" t="s">
        <v>329</v>
      </c>
      <c r="M55" s="47">
        <v>1</v>
      </c>
      <c r="N55" s="47">
        <v>0</v>
      </c>
    </row>
    <row r="56" spans="2:14" hidden="1" x14ac:dyDescent="0.25">
      <c r="B56" s="145" t="s">
        <v>234</v>
      </c>
      <c r="C56" s="146" t="s">
        <v>455</v>
      </c>
      <c r="D56" s="156"/>
      <c r="E56" s="146"/>
      <c r="F56" s="148"/>
      <c r="G56" s="157"/>
      <c r="H56" s="148"/>
      <c r="I56" s="148"/>
      <c r="J56" s="158"/>
      <c r="K56" s="151"/>
      <c r="L56" s="47"/>
      <c r="M56" s="47"/>
      <c r="N56" s="47"/>
    </row>
    <row r="57" spans="2:14" ht="105.6" hidden="1" x14ac:dyDescent="0.25">
      <c r="B57" s="145" t="s">
        <v>234</v>
      </c>
      <c r="C57" s="146" t="s">
        <v>455</v>
      </c>
      <c r="D57" s="156"/>
      <c r="E57" s="146"/>
      <c r="F57" s="148"/>
      <c r="G57" s="160" t="s">
        <v>483</v>
      </c>
      <c r="H57" s="148"/>
      <c r="I57" s="148"/>
      <c r="J57" s="158"/>
      <c r="K57" s="151"/>
      <c r="L57" s="47"/>
      <c r="M57" s="47"/>
      <c r="N57" s="47"/>
    </row>
    <row r="58" spans="2:14" hidden="1" x14ac:dyDescent="0.25">
      <c r="B58" s="145" t="s">
        <v>234</v>
      </c>
      <c r="C58" s="146" t="s">
        <v>455</v>
      </c>
      <c r="D58" s="156" t="s">
        <v>426</v>
      </c>
      <c r="E58" s="148" t="s">
        <v>237</v>
      </c>
      <c r="F58" s="148"/>
      <c r="G58" s="157" t="s">
        <v>412</v>
      </c>
      <c r="H58" s="148"/>
      <c r="I58" s="148"/>
      <c r="J58" s="158" t="s">
        <v>302</v>
      </c>
      <c r="K58" s="151"/>
      <c r="L58" s="47" t="s">
        <v>286</v>
      </c>
      <c r="M58" s="47">
        <v>1</v>
      </c>
      <c r="N58" s="47">
        <v>0</v>
      </c>
    </row>
    <row r="59" spans="2:14" hidden="1" x14ac:dyDescent="0.25">
      <c r="B59" s="145" t="s">
        <v>234</v>
      </c>
      <c r="C59" s="146" t="s">
        <v>455</v>
      </c>
      <c r="D59" s="156" t="s">
        <v>426</v>
      </c>
      <c r="E59" s="148" t="s">
        <v>246</v>
      </c>
      <c r="F59" s="148"/>
      <c r="G59" s="157" t="s">
        <v>413</v>
      </c>
      <c r="H59" s="148"/>
      <c r="I59" s="148"/>
      <c r="J59" s="158" t="s">
        <v>303</v>
      </c>
      <c r="K59" s="151"/>
      <c r="L59" s="47" t="s">
        <v>325</v>
      </c>
      <c r="M59" s="47">
        <v>1</v>
      </c>
      <c r="N59" s="47">
        <v>0</v>
      </c>
    </row>
    <row r="60" spans="2:14" hidden="1" x14ac:dyDescent="0.25">
      <c r="B60" s="145" t="s">
        <v>234</v>
      </c>
      <c r="C60" s="146" t="s">
        <v>455</v>
      </c>
      <c r="D60" s="156" t="s">
        <v>427</v>
      </c>
      <c r="E60" s="148" t="s">
        <v>237</v>
      </c>
      <c r="F60" s="148"/>
      <c r="G60" s="157" t="s">
        <v>414</v>
      </c>
      <c r="H60" s="148"/>
      <c r="I60" s="148"/>
      <c r="J60" s="158" t="s">
        <v>304</v>
      </c>
      <c r="K60" s="151"/>
      <c r="L60" s="47" t="s">
        <v>325</v>
      </c>
      <c r="M60" s="47">
        <v>1</v>
      </c>
      <c r="N60" s="47">
        <v>0</v>
      </c>
    </row>
    <row r="61" spans="2:14" hidden="1" x14ac:dyDescent="0.25">
      <c r="B61" s="145" t="s">
        <v>234</v>
      </c>
      <c r="C61" s="146" t="s">
        <v>455</v>
      </c>
      <c r="D61" s="156" t="s">
        <v>427</v>
      </c>
      <c r="E61" s="148" t="s">
        <v>246</v>
      </c>
      <c r="F61" s="148"/>
      <c r="G61" s="157" t="s">
        <v>415</v>
      </c>
      <c r="H61" s="148"/>
      <c r="I61" s="148"/>
      <c r="J61" s="158" t="s">
        <v>305</v>
      </c>
      <c r="K61" s="151"/>
      <c r="L61" s="47" t="s">
        <v>325</v>
      </c>
      <c r="M61" s="47">
        <v>1</v>
      </c>
      <c r="N61" s="47">
        <v>0</v>
      </c>
    </row>
    <row r="62" spans="2:14" hidden="1" x14ac:dyDescent="0.25">
      <c r="B62" s="145" t="s">
        <v>234</v>
      </c>
      <c r="C62" s="146" t="s">
        <v>455</v>
      </c>
      <c r="D62" s="156" t="s">
        <v>428</v>
      </c>
      <c r="E62" s="148" t="s">
        <v>237</v>
      </c>
      <c r="F62" s="148"/>
      <c r="G62" s="157" t="s">
        <v>416</v>
      </c>
      <c r="H62" s="148"/>
      <c r="I62" s="148"/>
      <c r="J62" s="158" t="s">
        <v>306</v>
      </c>
      <c r="K62" s="151"/>
      <c r="L62" s="47" t="s">
        <v>325</v>
      </c>
      <c r="M62" s="47">
        <v>1</v>
      </c>
      <c r="N62" s="47">
        <v>0</v>
      </c>
    </row>
    <row r="63" spans="2:14" hidden="1" x14ac:dyDescent="0.25">
      <c r="B63" s="145" t="s">
        <v>234</v>
      </c>
      <c r="C63" s="146" t="s">
        <v>455</v>
      </c>
      <c r="D63" s="156" t="s">
        <v>432</v>
      </c>
      <c r="E63" s="148" t="s">
        <v>237</v>
      </c>
      <c r="F63" s="148"/>
      <c r="G63" s="157" t="s">
        <v>446</v>
      </c>
      <c r="H63" s="148"/>
      <c r="I63" s="148"/>
      <c r="J63" s="158" t="s">
        <v>456</v>
      </c>
      <c r="K63" s="151"/>
      <c r="L63" s="47" t="s">
        <v>325</v>
      </c>
      <c r="M63" s="47">
        <v>1</v>
      </c>
      <c r="N63" s="47">
        <v>0</v>
      </c>
    </row>
    <row r="64" spans="2:14" hidden="1" x14ac:dyDescent="0.25">
      <c r="B64" s="145" t="s">
        <v>234</v>
      </c>
      <c r="C64" s="146" t="s">
        <v>455</v>
      </c>
      <c r="D64" s="156" t="s">
        <v>432</v>
      </c>
      <c r="E64" s="148" t="s">
        <v>246</v>
      </c>
      <c r="F64" s="148"/>
      <c r="G64" s="157" t="s">
        <v>447</v>
      </c>
      <c r="H64" s="148"/>
      <c r="I64" s="148"/>
      <c r="J64" s="158" t="s">
        <v>457</v>
      </c>
      <c r="K64" s="151"/>
      <c r="L64" s="47" t="s">
        <v>325</v>
      </c>
      <c r="M64" s="47">
        <v>1</v>
      </c>
      <c r="N64" s="47">
        <v>0</v>
      </c>
    </row>
    <row r="65" spans="2:14" hidden="1" x14ac:dyDescent="0.25">
      <c r="B65" s="145" t="s">
        <v>234</v>
      </c>
      <c r="C65" s="146" t="s">
        <v>455</v>
      </c>
      <c r="D65" s="156" t="s">
        <v>433</v>
      </c>
      <c r="E65" s="148" t="s">
        <v>237</v>
      </c>
      <c r="F65" s="148"/>
      <c r="G65" s="157" t="s">
        <v>459</v>
      </c>
      <c r="H65" s="148"/>
      <c r="I65" s="148"/>
      <c r="J65" s="158" t="s">
        <v>458</v>
      </c>
      <c r="K65" s="151"/>
      <c r="L65" s="47" t="s">
        <v>325</v>
      </c>
      <c r="M65" s="47">
        <v>1</v>
      </c>
      <c r="N65" s="47">
        <v>0</v>
      </c>
    </row>
    <row r="66" spans="2:14" ht="26.4" hidden="1" x14ac:dyDescent="0.25">
      <c r="B66" s="145" t="s">
        <v>234</v>
      </c>
      <c r="C66" s="146" t="s">
        <v>455</v>
      </c>
      <c r="D66" s="156" t="s">
        <v>433</v>
      </c>
      <c r="E66" s="148" t="s">
        <v>246</v>
      </c>
      <c r="F66" s="148"/>
      <c r="G66" s="157" t="s">
        <v>460</v>
      </c>
      <c r="H66" s="148"/>
      <c r="I66" s="148"/>
      <c r="J66" s="158" t="s">
        <v>461</v>
      </c>
      <c r="K66" s="151"/>
      <c r="L66" s="47" t="s">
        <v>325</v>
      </c>
      <c r="M66" s="47">
        <v>1</v>
      </c>
      <c r="N66" s="47">
        <v>0</v>
      </c>
    </row>
    <row r="67" spans="2:14" hidden="1" x14ac:dyDescent="0.25">
      <c r="B67" s="145" t="s">
        <v>234</v>
      </c>
      <c r="C67" s="146" t="s">
        <v>455</v>
      </c>
      <c r="D67" s="156" t="s">
        <v>443</v>
      </c>
      <c r="E67" s="148" t="s">
        <v>237</v>
      </c>
      <c r="F67" s="148"/>
      <c r="G67" s="157" t="s">
        <v>450</v>
      </c>
      <c r="H67" s="148"/>
      <c r="I67" s="148"/>
      <c r="J67" s="158" t="s">
        <v>462</v>
      </c>
      <c r="K67" s="151"/>
      <c r="L67" s="47" t="s">
        <v>325</v>
      </c>
      <c r="M67" s="47">
        <v>1</v>
      </c>
      <c r="N67" s="47">
        <v>0</v>
      </c>
    </row>
    <row r="68" spans="2:14" hidden="1" x14ac:dyDescent="0.25">
      <c r="B68" s="145" t="s">
        <v>234</v>
      </c>
      <c r="C68" s="146" t="s">
        <v>455</v>
      </c>
      <c r="D68" s="156" t="s">
        <v>443</v>
      </c>
      <c r="E68" s="148" t="s">
        <v>246</v>
      </c>
      <c r="F68" s="148"/>
      <c r="G68" s="157" t="s">
        <v>451</v>
      </c>
      <c r="H68" s="148"/>
      <c r="I68" s="148"/>
      <c r="J68" s="158" t="s">
        <v>463</v>
      </c>
      <c r="K68" s="151"/>
      <c r="L68" s="47" t="s">
        <v>325</v>
      </c>
      <c r="M68" s="47">
        <v>1</v>
      </c>
      <c r="N68" s="47">
        <v>0</v>
      </c>
    </row>
    <row r="69" spans="2:14" x14ac:dyDescent="0.25">
      <c r="B69" s="181"/>
      <c r="C69" s="182"/>
      <c r="D69" s="183"/>
      <c r="E69" s="184"/>
      <c r="F69" s="184"/>
      <c r="G69" s="185"/>
      <c r="H69" s="184"/>
      <c r="I69" s="184"/>
      <c r="J69" s="186"/>
      <c r="K69" s="187"/>
      <c r="L69" s="187"/>
      <c r="M69" s="187"/>
      <c r="N69" s="187"/>
    </row>
    <row r="70" spans="2:14" x14ac:dyDescent="0.25">
      <c r="B70" s="188"/>
      <c r="C70" s="189"/>
      <c r="D70" s="190"/>
      <c r="E70" s="189"/>
      <c r="F70" s="189"/>
      <c r="G70" s="191"/>
      <c r="H70" s="189"/>
      <c r="I70" s="189"/>
      <c r="J70" s="192"/>
      <c r="K70" s="193"/>
      <c r="L70" s="193"/>
      <c r="M70" s="193"/>
      <c r="N70" s="193"/>
    </row>
    <row r="71" spans="2:14" x14ac:dyDescent="0.25">
      <c r="B71" s="194"/>
      <c r="C71" s="195"/>
      <c r="D71" s="196"/>
      <c r="E71" s="195"/>
      <c r="F71" s="195"/>
      <c r="G71" s="197"/>
      <c r="H71" s="195"/>
      <c r="I71" s="195"/>
      <c r="J71" s="198"/>
      <c r="K71" s="199"/>
      <c r="L71" s="199"/>
      <c r="M71" s="199"/>
      <c r="N71" s="199"/>
    </row>
    <row r="72" spans="2:14" x14ac:dyDescent="0.25">
      <c r="B72" s="188"/>
      <c r="C72" s="189"/>
      <c r="D72" s="190"/>
      <c r="E72" s="189"/>
      <c r="F72" s="189"/>
      <c r="G72" s="191"/>
      <c r="H72" s="189"/>
      <c r="I72" s="189"/>
      <c r="J72" s="192"/>
      <c r="K72" s="193"/>
      <c r="L72" s="193"/>
      <c r="M72" s="193"/>
      <c r="N72" s="193"/>
    </row>
    <row r="73" spans="2:14" x14ac:dyDescent="0.25">
      <c r="B73" s="188"/>
      <c r="C73" s="189"/>
      <c r="D73" s="190"/>
      <c r="E73" s="189"/>
      <c r="F73" s="189"/>
      <c r="G73" s="191"/>
      <c r="H73" s="189"/>
      <c r="I73" s="189"/>
      <c r="J73" s="192"/>
      <c r="K73" s="193"/>
      <c r="L73" s="193"/>
      <c r="M73" s="193"/>
      <c r="N73" s="193"/>
    </row>
    <row r="74" spans="2:14" x14ac:dyDescent="0.25">
      <c r="B74" s="188"/>
      <c r="C74" s="189"/>
      <c r="D74" s="190"/>
      <c r="E74" s="189"/>
      <c r="F74" s="189"/>
      <c r="G74" s="191"/>
      <c r="H74" s="189"/>
      <c r="I74" s="189"/>
      <c r="J74" s="192"/>
      <c r="K74" s="193"/>
      <c r="L74" s="193"/>
      <c r="M74" s="193"/>
      <c r="N74" s="193"/>
    </row>
    <row r="75" spans="2:14" x14ac:dyDescent="0.25">
      <c r="B75" s="188"/>
      <c r="C75" s="189"/>
      <c r="D75" s="190"/>
      <c r="E75" s="189"/>
      <c r="F75" s="189"/>
      <c r="G75" s="191"/>
      <c r="H75" s="189"/>
      <c r="I75" s="189"/>
      <c r="J75" s="192"/>
      <c r="K75" s="193"/>
      <c r="L75" s="193"/>
      <c r="M75" s="193"/>
      <c r="N75" s="193"/>
    </row>
    <row r="76" spans="2:14" x14ac:dyDescent="0.25">
      <c r="B76" s="188"/>
      <c r="C76" s="189"/>
      <c r="D76" s="190"/>
      <c r="E76" s="189"/>
      <c r="F76" s="189"/>
      <c r="G76" s="191"/>
      <c r="H76" s="189"/>
      <c r="I76" s="189"/>
      <c r="J76" s="192"/>
      <c r="K76" s="193"/>
      <c r="L76" s="193"/>
      <c r="M76" s="193"/>
      <c r="N76" s="193"/>
    </row>
    <row r="77" spans="2:14" x14ac:dyDescent="0.25">
      <c r="B77" s="188"/>
      <c r="C77" s="189"/>
      <c r="D77" s="190"/>
      <c r="E77" s="189"/>
      <c r="F77" s="189"/>
      <c r="G77" s="191"/>
      <c r="H77" s="189"/>
      <c r="I77" s="189"/>
      <c r="J77" s="192"/>
      <c r="K77" s="193"/>
      <c r="L77" s="193"/>
      <c r="M77" s="193"/>
      <c r="N77" s="193"/>
    </row>
    <row r="78" spans="2:14" x14ac:dyDescent="0.25">
      <c r="B78" s="188"/>
      <c r="C78" s="189"/>
      <c r="D78" s="190"/>
      <c r="E78" s="189"/>
      <c r="F78" s="189"/>
      <c r="G78" s="191"/>
      <c r="H78" s="189"/>
      <c r="I78" s="189"/>
      <c r="J78" s="192"/>
      <c r="K78" s="193"/>
      <c r="L78" s="193"/>
      <c r="M78" s="193"/>
      <c r="N78" s="193"/>
    </row>
    <row r="79" spans="2:14" x14ac:dyDescent="0.25">
      <c r="B79" s="188"/>
      <c r="C79" s="189"/>
      <c r="D79" s="190"/>
      <c r="E79" s="189"/>
      <c r="F79" s="189"/>
      <c r="G79" s="191"/>
      <c r="H79" s="189"/>
      <c r="I79" s="189"/>
      <c r="J79" s="192"/>
      <c r="K79" s="193"/>
      <c r="L79" s="193"/>
      <c r="M79" s="193"/>
      <c r="N79" s="193"/>
    </row>
    <row r="80" spans="2:14" x14ac:dyDescent="0.25">
      <c r="B80" s="188"/>
      <c r="C80" s="189"/>
      <c r="D80" s="190"/>
      <c r="E80" s="189"/>
      <c r="F80" s="189"/>
      <c r="G80" s="191"/>
      <c r="H80" s="189"/>
      <c r="I80" s="189"/>
      <c r="J80" s="192"/>
      <c r="K80" s="193"/>
      <c r="L80" s="193"/>
      <c r="M80" s="193"/>
      <c r="N80" s="193"/>
    </row>
    <row r="81" spans="2:14" x14ac:dyDescent="0.25">
      <c r="B81" s="188"/>
      <c r="C81" s="189"/>
      <c r="D81" s="190"/>
      <c r="E81" s="189"/>
      <c r="F81" s="189"/>
      <c r="G81" s="191"/>
      <c r="H81" s="189"/>
      <c r="I81" s="189"/>
      <c r="J81" s="192"/>
      <c r="K81" s="193"/>
      <c r="L81" s="193"/>
      <c r="M81" s="193"/>
      <c r="N81" s="193"/>
    </row>
    <row r="82" spans="2:14" x14ac:dyDescent="0.25">
      <c r="B82" s="188"/>
      <c r="C82" s="189"/>
      <c r="D82" s="190"/>
      <c r="E82" s="189"/>
      <c r="F82" s="189"/>
      <c r="G82" s="191"/>
      <c r="H82" s="189"/>
      <c r="I82" s="189"/>
      <c r="J82" s="192"/>
      <c r="K82" s="193"/>
      <c r="L82" s="193"/>
      <c r="M82" s="193"/>
      <c r="N82" s="193"/>
    </row>
    <row r="83" spans="2:14" x14ac:dyDescent="0.25">
      <c r="B83" s="188"/>
      <c r="C83" s="189"/>
      <c r="D83" s="190"/>
      <c r="E83" s="189"/>
      <c r="F83" s="189"/>
      <c r="G83" s="191"/>
      <c r="H83" s="189"/>
      <c r="I83" s="189"/>
      <c r="J83" s="192"/>
      <c r="K83" s="193"/>
      <c r="L83" s="193"/>
      <c r="M83" s="193"/>
      <c r="N83" s="193"/>
    </row>
    <row r="84" spans="2:14" x14ac:dyDescent="0.25">
      <c r="B84" s="188"/>
      <c r="C84" s="189"/>
      <c r="D84" s="190"/>
      <c r="E84" s="189"/>
      <c r="F84" s="189"/>
      <c r="G84" s="191"/>
      <c r="H84" s="189"/>
      <c r="I84" s="189"/>
      <c r="J84" s="192"/>
      <c r="K84" s="193"/>
      <c r="L84" s="193"/>
      <c r="M84" s="193"/>
      <c r="N84" s="193"/>
    </row>
    <row r="85" spans="2:14" x14ac:dyDescent="0.25">
      <c r="B85" s="188"/>
      <c r="C85" s="189"/>
      <c r="D85" s="190"/>
      <c r="E85" s="189"/>
      <c r="F85" s="189"/>
      <c r="G85" s="191"/>
      <c r="H85" s="189"/>
      <c r="I85" s="189"/>
      <c r="J85" s="192"/>
      <c r="K85" s="193"/>
      <c r="L85" s="193"/>
      <c r="M85" s="193"/>
      <c r="N85" s="193"/>
    </row>
    <row r="86" spans="2:14" x14ac:dyDescent="0.25">
      <c r="B86" s="188"/>
      <c r="C86" s="189"/>
      <c r="D86" s="190"/>
      <c r="E86" s="189"/>
      <c r="F86" s="189"/>
      <c r="G86" s="191"/>
      <c r="H86" s="189"/>
      <c r="I86" s="189"/>
      <c r="J86" s="192"/>
      <c r="K86" s="193"/>
      <c r="L86" s="193"/>
      <c r="M86" s="193"/>
      <c r="N86" s="193"/>
    </row>
    <row r="87" spans="2:14" x14ac:dyDescent="0.25">
      <c r="B87" s="188"/>
      <c r="C87" s="189"/>
      <c r="D87" s="190"/>
      <c r="E87" s="189"/>
      <c r="F87" s="189"/>
      <c r="G87" s="191"/>
      <c r="H87" s="189"/>
      <c r="I87" s="189"/>
      <c r="J87" s="192"/>
      <c r="K87" s="193"/>
      <c r="L87" s="193"/>
      <c r="M87" s="193"/>
      <c r="N87" s="193"/>
    </row>
    <row r="88" spans="2:14" x14ac:dyDescent="0.25">
      <c r="B88" s="188"/>
      <c r="C88" s="189"/>
      <c r="D88" s="190"/>
      <c r="E88" s="189"/>
      <c r="F88" s="189"/>
      <c r="G88" s="191"/>
      <c r="H88" s="189"/>
      <c r="I88" s="189"/>
      <c r="J88" s="192"/>
      <c r="K88" s="193"/>
      <c r="L88" s="193"/>
      <c r="M88" s="193"/>
      <c r="N88" s="193"/>
    </row>
    <row r="89" spans="2:14" x14ac:dyDescent="0.25">
      <c r="B89" s="188"/>
      <c r="C89" s="189"/>
      <c r="D89" s="190"/>
      <c r="E89" s="189"/>
      <c r="F89" s="189"/>
      <c r="G89" s="191"/>
      <c r="H89" s="189"/>
      <c r="I89" s="189"/>
      <c r="J89" s="192"/>
      <c r="K89" s="193"/>
      <c r="L89" s="193"/>
      <c r="M89" s="193"/>
      <c r="N89" s="193"/>
    </row>
    <row r="90" spans="2:14" x14ac:dyDescent="0.25">
      <c r="B90" s="188"/>
      <c r="C90" s="189"/>
      <c r="D90" s="190"/>
      <c r="E90" s="189"/>
      <c r="F90" s="189"/>
      <c r="G90" s="191"/>
      <c r="H90" s="189"/>
      <c r="I90" s="189"/>
      <c r="J90" s="192"/>
      <c r="K90" s="193"/>
      <c r="L90" s="193"/>
      <c r="M90" s="193"/>
      <c r="N90" s="193"/>
    </row>
    <row r="91" spans="2:14" x14ac:dyDescent="0.25">
      <c r="B91" s="188"/>
      <c r="C91" s="189"/>
      <c r="D91" s="190"/>
      <c r="E91" s="189"/>
      <c r="F91" s="189"/>
      <c r="G91" s="191"/>
      <c r="H91" s="189"/>
      <c r="I91" s="189"/>
      <c r="J91" s="192"/>
      <c r="K91" s="193"/>
      <c r="L91" s="193"/>
      <c r="M91" s="193"/>
      <c r="N91" s="193"/>
    </row>
    <row r="92" spans="2:14" x14ac:dyDescent="0.25">
      <c r="B92" s="188"/>
      <c r="C92" s="189"/>
      <c r="D92" s="190"/>
      <c r="E92" s="189"/>
      <c r="F92" s="189"/>
      <c r="G92" s="191"/>
      <c r="H92" s="189"/>
      <c r="I92" s="189"/>
      <c r="J92" s="192"/>
      <c r="K92" s="193"/>
      <c r="L92" s="193"/>
      <c r="M92" s="193"/>
      <c r="N92" s="193"/>
    </row>
    <row r="93" spans="2:14" x14ac:dyDescent="0.25">
      <c r="B93" s="188"/>
      <c r="C93" s="189"/>
      <c r="D93" s="190"/>
      <c r="E93" s="189"/>
      <c r="F93" s="189"/>
      <c r="G93" s="191"/>
      <c r="H93" s="189"/>
      <c r="I93" s="189"/>
      <c r="J93" s="192"/>
      <c r="K93" s="193"/>
      <c r="L93" s="193"/>
      <c r="M93" s="193"/>
      <c r="N93" s="193"/>
    </row>
    <row r="94" spans="2:14" x14ac:dyDescent="0.25">
      <c r="B94" s="188"/>
      <c r="C94" s="189"/>
      <c r="D94" s="190"/>
      <c r="E94" s="189"/>
      <c r="F94" s="189"/>
      <c r="G94" s="191"/>
      <c r="H94" s="189"/>
      <c r="I94" s="189"/>
      <c r="J94" s="192"/>
      <c r="K94" s="193"/>
      <c r="L94" s="193"/>
      <c r="M94" s="193"/>
      <c r="N94" s="193"/>
    </row>
    <row r="95" spans="2:14" x14ac:dyDescent="0.25">
      <c r="B95" s="188"/>
      <c r="C95" s="189"/>
      <c r="D95" s="190"/>
      <c r="E95" s="189"/>
      <c r="F95" s="189"/>
      <c r="G95" s="191"/>
      <c r="H95" s="189"/>
      <c r="I95" s="189"/>
      <c r="J95" s="192"/>
      <c r="K95" s="193"/>
      <c r="L95" s="193"/>
      <c r="M95" s="193"/>
      <c r="N95" s="193"/>
    </row>
    <row r="96" spans="2:14" x14ac:dyDescent="0.25">
      <c r="B96" s="188"/>
      <c r="C96" s="189"/>
      <c r="D96" s="190"/>
      <c r="E96" s="189"/>
      <c r="F96" s="189"/>
      <c r="G96" s="191"/>
      <c r="H96" s="189"/>
      <c r="I96" s="189"/>
      <c r="J96" s="192"/>
      <c r="K96" s="193"/>
      <c r="L96" s="193"/>
      <c r="M96" s="193"/>
      <c r="N96" s="193"/>
    </row>
    <row r="97" spans="2:14" x14ac:dyDescent="0.25">
      <c r="B97" s="188"/>
      <c r="C97" s="189"/>
      <c r="D97" s="190"/>
      <c r="E97" s="189"/>
      <c r="F97" s="189"/>
      <c r="G97" s="191"/>
      <c r="H97" s="189"/>
      <c r="I97" s="189"/>
      <c r="J97" s="192"/>
      <c r="K97" s="193"/>
      <c r="L97" s="193"/>
      <c r="M97" s="193"/>
      <c r="N97" s="193"/>
    </row>
    <row r="98" spans="2:14" x14ac:dyDescent="0.25">
      <c r="B98" s="188"/>
      <c r="C98" s="189"/>
      <c r="D98" s="190"/>
      <c r="E98" s="189"/>
      <c r="F98" s="189"/>
      <c r="G98" s="191"/>
      <c r="H98" s="189"/>
      <c r="I98" s="189"/>
      <c r="J98" s="192"/>
      <c r="K98" s="193"/>
      <c r="L98" s="193"/>
      <c r="M98" s="193"/>
      <c r="N98" s="193"/>
    </row>
    <row r="99" spans="2:14" x14ac:dyDescent="0.25">
      <c r="B99" s="188"/>
      <c r="C99" s="189"/>
      <c r="D99" s="190"/>
      <c r="E99" s="189"/>
      <c r="F99" s="189"/>
      <c r="G99" s="191"/>
      <c r="H99" s="189"/>
      <c r="I99" s="189"/>
      <c r="J99" s="192"/>
      <c r="K99" s="193"/>
      <c r="L99" s="193"/>
      <c r="M99" s="193"/>
      <c r="N99" s="193"/>
    </row>
    <row r="100" spans="2:14" x14ac:dyDescent="0.25">
      <c r="B100" s="188"/>
      <c r="C100" s="189"/>
      <c r="D100" s="190"/>
      <c r="E100" s="189"/>
      <c r="F100" s="189"/>
      <c r="G100" s="191"/>
      <c r="H100" s="189"/>
      <c r="I100" s="189"/>
      <c r="J100" s="192"/>
      <c r="K100" s="193"/>
      <c r="L100" s="193"/>
      <c r="M100" s="193"/>
      <c r="N100" s="193"/>
    </row>
    <row r="101" spans="2:14" x14ac:dyDescent="0.25">
      <c r="B101" s="188"/>
      <c r="C101" s="189"/>
      <c r="D101" s="190"/>
      <c r="E101" s="189"/>
      <c r="F101" s="189"/>
      <c r="G101" s="191"/>
      <c r="H101" s="189"/>
      <c r="I101" s="189"/>
      <c r="J101" s="192"/>
      <c r="K101" s="193"/>
      <c r="L101" s="193"/>
      <c r="M101" s="193"/>
      <c r="N101" s="193"/>
    </row>
    <row r="102" spans="2:14" x14ac:dyDescent="0.25">
      <c r="B102" s="188"/>
      <c r="C102" s="189"/>
      <c r="D102" s="190"/>
      <c r="E102" s="189"/>
      <c r="F102" s="189"/>
      <c r="G102" s="191"/>
      <c r="H102" s="189"/>
      <c r="I102" s="189"/>
      <c r="J102" s="192"/>
      <c r="K102" s="193"/>
      <c r="L102" s="193"/>
      <c r="M102" s="193"/>
      <c r="N102" s="193"/>
    </row>
    <row r="103" spans="2:14" x14ac:dyDescent="0.25">
      <c r="B103" s="188"/>
      <c r="C103" s="189"/>
      <c r="D103" s="190"/>
      <c r="E103" s="189"/>
      <c r="F103" s="189"/>
      <c r="G103" s="191"/>
      <c r="H103" s="189"/>
      <c r="I103" s="189"/>
      <c r="J103" s="192"/>
      <c r="K103" s="193"/>
      <c r="L103" s="193"/>
      <c r="M103" s="193"/>
      <c r="N103" s="193"/>
    </row>
    <row r="104" spans="2:14" x14ac:dyDescent="0.25">
      <c r="B104" s="188"/>
      <c r="C104" s="189"/>
      <c r="D104" s="190"/>
      <c r="E104" s="189"/>
      <c r="F104" s="189"/>
      <c r="G104" s="191"/>
      <c r="H104" s="189"/>
      <c r="I104" s="189"/>
      <c r="J104" s="192"/>
      <c r="K104" s="193"/>
      <c r="L104" s="193"/>
      <c r="M104" s="193"/>
      <c r="N104" s="193"/>
    </row>
    <row r="105" spans="2:14" x14ac:dyDescent="0.25">
      <c r="B105" s="194"/>
      <c r="C105" s="195"/>
      <c r="D105" s="196"/>
      <c r="E105" s="195"/>
      <c r="F105" s="195"/>
      <c r="G105" s="197"/>
      <c r="H105" s="195"/>
      <c r="I105" s="195"/>
      <c r="J105" s="198"/>
      <c r="K105" s="199"/>
      <c r="L105" s="199"/>
      <c r="M105" s="199"/>
      <c r="N105" s="199"/>
    </row>
  </sheetData>
  <autoFilter ref="B2:N105" xr:uid="{A56514E1-D789-4831-BDB6-B52F5B0D56ED}">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6</xdr:col>
                <xdr:colOff>2697480</xdr:colOff>
                <xdr:row>0</xdr:row>
                <xdr:rowOff>76200</xdr:rowOff>
              </from>
              <to>
                <xdr:col>7</xdr:col>
                <xdr:colOff>350520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1402080</xdr:colOff>
                <xdr:row>0</xdr:row>
                <xdr:rowOff>83820</xdr:rowOff>
              </from>
              <to>
                <xdr:col>9</xdr:col>
                <xdr:colOff>2164080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9</xdr:col>
                <xdr:colOff>3581400</xdr:colOff>
                <xdr:row>0</xdr:row>
                <xdr:rowOff>83820</xdr:rowOff>
              </from>
              <to>
                <xdr:col>10</xdr:col>
                <xdr:colOff>281940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388620</xdr:colOff>
                <xdr:row>0</xdr:row>
                <xdr:rowOff>83820</xdr:rowOff>
              </from>
              <to>
                <xdr:col>6</xdr:col>
                <xdr:colOff>701040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1699260</xdr:colOff>
                <xdr:row>0</xdr:row>
                <xdr:rowOff>83820</xdr:rowOff>
              </from>
              <to>
                <xdr:col>6</xdr:col>
                <xdr:colOff>2461260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822960</xdr:colOff>
                <xdr:row>0</xdr:row>
                <xdr:rowOff>83820</xdr:rowOff>
              </from>
              <to>
                <xdr:col>6</xdr:col>
                <xdr:colOff>1584960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198120</xdr:colOff>
                <xdr:row>0</xdr:row>
                <xdr:rowOff>83820</xdr:rowOff>
              </from>
              <to>
                <xdr:col>4</xdr:col>
                <xdr:colOff>350520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7620</xdr:colOff>
                <xdr:row>0</xdr:row>
                <xdr:rowOff>83820</xdr:rowOff>
              </from>
              <to>
                <xdr:col>9</xdr:col>
                <xdr:colOff>190500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335280</xdr:colOff>
                <xdr:row>0</xdr:row>
                <xdr:rowOff>83820</xdr:rowOff>
              </from>
              <to>
                <xdr:col>9</xdr:col>
                <xdr:colOff>1097280</xdr:colOff>
                <xdr:row>0</xdr:row>
                <xdr:rowOff>1051560</xdr:rowOff>
              </to>
            </anchor>
          </controlPr>
        </control>
      </mc:Choice>
      <mc:Fallback>
        <control shapeId="1040" r:id="rId24" name="UnHideAll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3" customHeight="1" x14ac:dyDescent="0.25">
      <c r="A1" s="74"/>
      <c r="B1" s="75" t="s">
        <v>243</v>
      </c>
      <c r="C1" s="76">
        <f>SUM(C2:C85)</f>
        <v>0</v>
      </c>
      <c r="D1" s="80"/>
      <c r="E1" s="77"/>
      <c r="F1" s="74" t="s">
        <v>314</v>
      </c>
      <c r="G1" s="78"/>
      <c r="H1" s="78" t="s">
        <v>321</v>
      </c>
      <c r="I1" s="77" t="s">
        <v>496</v>
      </c>
      <c r="J1" s="78" t="s">
        <v>314</v>
      </c>
      <c r="K1" s="78" t="s">
        <v>321</v>
      </c>
      <c r="L1" s="79">
        <v>1</v>
      </c>
      <c r="M1" s="77"/>
      <c r="N1" s="77"/>
      <c r="O1" s="77"/>
    </row>
    <row r="2" spans="1:15" ht="40.200000000000003" customHeight="1" x14ac:dyDescent="0.25">
      <c r="B2" s="28" t="s">
        <v>234</v>
      </c>
      <c r="C2" s="28" t="s">
        <v>270</v>
      </c>
      <c r="D2" s="28" t="s">
        <v>307</v>
      </c>
      <c r="E2" s="28" t="s">
        <v>3</v>
      </c>
      <c r="F2" s="34" t="s">
        <v>71</v>
      </c>
      <c r="G2" s="28" t="s">
        <v>318</v>
      </c>
      <c r="H2" s="35" t="s">
        <v>1</v>
      </c>
      <c r="I2" s="28" t="s">
        <v>255</v>
      </c>
      <c r="J2" s="28" t="s">
        <v>254</v>
      </c>
      <c r="K2" s="37" t="s">
        <v>248</v>
      </c>
      <c r="L2" s="28" t="s">
        <v>125</v>
      </c>
      <c r="M2" s="36" t="s">
        <v>4</v>
      </c>
      <c r="N2" s="36" t="s">
        <v>238</v>
      </c>
      <c r="O2" s="40" t="s">
        <v>258</v>
      </c>
    </row>
    <row r="3" spans="1:15" x14ac:dyDescent="0.25">
      <c r="B3" s="87" t="s">
        <v>234</v>
      </c>
      <c r="C3" s="88" t="s">
        <v>373</v>
      </c>
      <c r="D3" s="89"/>
      <c r="E3" s="89"/>
      <c r="F3" s="93"/>
      <c r="G3" s="93"/>
      <c r="H3" s="90" t="s">
        <v>317</v>
      </c>
      <c r="I3" s="88"/>
      <c r="J3" s="88"/>
      <c r="K3" s="91" t="s">
        <v>247</v>
      </c>
      <c r="L3" s="101">
        <v>0</v>
      </c>
      <c r="M3" s="92">
        <v>1</v>
      </c>
      <c r="N3" s="99">
        <v>0</v>
      </c>
      <c r="O3" s="47">
        <v>0</v>
      </c>
    </row>
    <row r="4" spans="1:15" hidden="1" x14ac:dyDescent="0.25">
      <c r="B4" s="81"/>
      <c r="C4" s="82" t="s">
        <v>374</v>
      </c>
      <c r="D4" s="97"/>
      <c r="E4" s="97"/>
      <c r="F4" s="82"/>
      <c r="G4" s="82"/>
      <c r="H4" s="98"/>
      <c r="I4" s="82"/>
      <c r="J4" s="82"/>
      <c r="K4" s="84"/>
      <c r="L4" s="85"/>
      <c r="M4" s="86"/>
      <c r="N4" s="51"/>
      <c r="O4" s="47"/>
    </row>
    <row r="5" spans="1:15" ht="39.6" hidden="1" x14ac:dyDescent="0.25">
      <c r="B5" s="27" t="s">
        <v>234</v>
      </c>
      <c r="C5" s="11" t="s">
        <v>374</v>
      </c>
      <c r="D5" s="55"/>
      <c r="E5" s="55"/>
      <c r="F5" s="11"/>
      <c r="G5" s="11"/>
      <c r="H5" s="61" t="s">
        <v>376</v>
      </c>
      <c r="I5" s="11"/>
      <c r="J5" s="11"/>
      <c r="K5" s="48" t="s">
        <v>375</v>
      </c>
      <c r="L5" s="46"/>
      <c r="M5" s="52">
        <v>7</v>
      </c>
      <c r="N5" s="51">
        <v>1</v>
      </c>
      <c r="O5" s="47">
        <v>0</v>
      </c>
    </row>
    <row r="6" spans="1:15" hidden="1" x14ac:dyDescent="0.25">
      <c r="B6" s="103"/>
      <c r="C6" s="104" t="s">
        <v>377</v>
      </c>
      <c r="D6" s="105"/>
      <c r="E6" s="105"/>
      <c r="F6" s="106"/>
      <c r="G6" s="106"/>
      <c r="H6" s="107"/>
      <c r="I6" s="104"/>
      <c r="J6" s="104"/>
      <c r="K6" s="108"/>
      <c r="L6" s="109"/>
      <c r="M6" s="110"/>
      <c r="N6" s="99"/>
      <c r="O6" s="47"/>
    </row>
    <row r="7" spans="1:15" ht="92.4" hidden="1" x14ac:dyDescent="0.25">
      <c r="B7" s="111" t="s">
        <v>234</v>
      </c>
      <c r="C7" s="112" t="s">
        <v>377</v>
      </c>
      <c r="D7" s="113"/>
      <c r="E7" s="113"/>
      <c r="F7" s="112"/>
      <c r="G7" s="112"/>
      <c r="H7" s="114" t="s">
        <v>380</v>
      </c>
      <c r="I7" s="112"/>
      <c r="J7" s="112"/>
      <c r="K7" s="115" t="s">
        <v>378</v>
      </c>
      <c r="L7" s="116"/>
      <c r="M7" s="117">
        <v>6</v>
      </c>
      <c r="N7" s="139">
        <v>1</v>
      </c>
      <c r="O7" s="47">
        <v>0</v>
      </c>
    </row>
    <row r="8" spans="1:15" ht="92.4" hidden="1" x14ac:dyDescent="0.25">
      <c r="B8" s="120"/>
      <c r="C8" s="121" t="s">
        <v>377</v>
      </c>
      <c r="D8" s="122"/>
      <c r="E8" s="122"/>
      <c r="F8" s="123"/>
      <c r="G8" s="123"/>
      <c r="H8" s="124" t="s">
        <v>381</v>
      </c>
      <c r="I8" s="121"/>
      <c r="J8" s="121"/>
      <c r="K8" s="125" t="s">
        <v>379</v>
      </c>
      <c r="L8" s="126"/>
      <c r="M8" s="127">
        <v>2</v>
      </c>
      <c r="N8" s="99">
        <v>1</v>
      </c>
      <c r="O8" s="47">
        <v>0</v>
      </c>
    </row>
    <row r="9" spans="1:15" hidden="1" x14ac:dyDescent="0.25">
      <c r="B9" s="81"/>
      <c r="C9" s="82" t="s">
        <v>382</v>
      </c>
      <c r="D9" s="83"/>
      <c r="E9" s="83"/>
      <c r="F9" s="138"/>
      <c r="G9" s="138"/>
      <c r="H9" s="98"/>
      <c r="I9" s="82"/>
      <c r="J9" s="82"/>
      <c r="K9" s="84"/>
      <c r="L9" s="85"/>
      <c r="M9" s="86"/>
      <c r="N9" s="51"/>
      <c r="O9" s="47"/>
    </row>
    <row r="10" spans="1:15" ht="39.6" hidden="1" x14ac:dyDescent="0.25">
      <c r="B10" s="27" t="s">
        <v>234</v>
      </c>
      <c r="C10" s="11" t="s">
        <v>382</v>
      </c>
      <c r="D10" s="56"/>
      <c r="E10" s="56"/>
      <c r="F10" s="11"/>
      <c r="G10" s="11"/>
      <c r="H10" s="61" t="s">
        <v>383</v>
      </c>
      <c r="I10" s="11"/>
      <c r="J10" s="11"/>
      <c r="K10" s="48" t="s">
        <v>316</v>
      </c>
      <c r="L10" s="46"/>
      <c r="M10" s="51">
        <v>2</v>
      </c>
      <c r="N10" s="51">
        <v>1</v>
      </c>
      <c r="O10" s="47">
        <v>0</v>
      </c>
    </row>
    <row r="11" spans="1:15" ht="52.8" hidden="1" x14ac:dyDescent="0.25">
      <c r="B11" s="27"/>
      <c r="C11" s="11" t="s">
        <v>382</v>
      </c>
      <c r="D11" s="56"/>
      <c r="E11" s="56"/>
      <c r="F11" s="7"/>
      <c r="G11" s="7"/>
      <c r="H11" s="62" t="s">
        <v>385</v>
      </c>
      <c r="I11" s="12"/>
      <c r="J11" s="12"/>
      <c r="K11" s="48" t="s">
        <v>384</v>
      </c>
      <c r="L11" s="49"/>
      <c r="M11" s="51" t="s">
        <v>284</v>
      </c>
      <c r="N11" s="51">
        <v>1</v>
      </c>
      <c r="O11" s="47">
        <v>0</v>
      </c>
    </row>
    <row r="12" spans="1:15" hidden="1" x14ac:dyDescent="0.25">
      <c r="B12" s="27"/>
      <c r="C12" s="11" t="s">
        <v>386</v>
      </c>
      <c r="D12" s="56"/>
      <c r="E12" s="56"/>
      <c r="F12" s="11"/>
      <c r="G12" s="11"/>
      <c r="H12" s="61"/>
      <c r="I12" s="11"/>
      <c r="J12" s="11"/>
      <c r="K12" s="48"/>
      <c r="L12" s="46"/>
      <c r="M12" s="51"/>
      <c r="N12" s="51"/>
      <c r="O12" s="47"/>
    </row>
    <row r="13" spans="1:15" ht="39.6" hidden="1" x14ac:dyDescent="0.25">
      <c r="B13" s="27" t="s">
        <v>234</v>
      </c>
      <c r="C13" s="11" t="s">
        <v>386</v>
      </c>
      <c r="D13" s="56"/>
      <c r="E13" s="56"/>
      <c r="F13" s="7"/>
      <c r="G13" s="7"/>
      <c r="H13" s="61" t="s">
        <v>388</v>
      </c>
      <c r="I13" s="11"/>
      <c r="J13" s="11"/>
      <c r="K13" s="48" t="s">
        <v>387</v>
      </c>
      <c r="L13" s="46"/>
      <c r="M13" s="51">
        <v>6</v>
      </c>
      <c r="N13" s="51">
        <v>1</v>
      </c>
      <c r="O13" s="47">
        <v>0</v>
      </c>
    </row>
    <row r="14" spans="1:15" ht="52.8" hidden="1" x14ac:dyDescent="0.25">
      <c r="B14" s="27"/>
      <c r="C14" s="11" t="s">
        <v>386</v>
      </c>
      <c r="D14" s="56"/>
      <c r="E14" s="56"/>
      <c r="F14" s="7"/>
      <c r="G14" s="7"/>
      <c r="H14" s="62" t="s">
        <v>389</v>
      </c>
      <c r="I14" s="11"/>
      <c r="J14" s="11"/>
      <c r="K14" s="48" t="s">
        <v>390</v>
      </c>
      <c r="L14" s="46"/>
      <c r="M14" s="52" t="s">
        <v>283</v>
      </c>
      <c r="N14" s="51">
        <v>1</v>
      </c>
      <c r="O14" s="47">
        <v>0</v>
      </c>
    </row>
    <row r="15" spans="1:15" hidden="1" x14ac:dyDescent="0.25">
      <c r="B15" s="27"/>
      <c r="C15" s="11" t="s">
        <v>391</v>
      </c>
      <c r="D15" s="56"/>
      <c r="E15" s="56"/>
      <c r="F15" s="7"/>
      <c r="G15" s="7"/>
      <c r="H15" s="61"/>
      <c r="I15" s="11"/>
      <c r="J15" s="11"/>
      <c r="K15" s="48"/>
      <c r="L15" s="46"/>
      <c r="M15" s="52"/>
      <c r="N15" s="51"/>
      <c r="O15" s="47"/>
    </row>
    <row r="16" spans="1:15" ht="39.6" hidden="1" x14ac:dyDescent="0.25">
      <c r="B16" s="27" t="s">
        <v>234</v>
      </c>
      <c r="C16" s="11" t="s">
        <v>391</v>
      </c>
      <c r="D16" s="56"/>
      <c r="E16" s="56"/>
      <c r="F16" s="7"/>
      <c r="G16" s="7"/>
      <c r="H16" s="61" t="s">
        <v>394</v>
      </c>
      <c r="I16" s="11"/>
      <c r="J16" s="11"/>
      <c r="K16" s="48" t="s">
        <v>256</v>
      </c>
      <c r="L16" s="46"/>
      <c r="M16" s="51">
        <v>6</v>
      </c>
      <c r="N16" s="51">
        <v>1</v>
      </c>
      <c r="O16" s="47">
        <v>0</v>
      </c>
    </row>
    <row r="17" spans="2:15" ht="52.8" hidden="1" x14ac:dyDescent="0.25">
      <c r="B17" s="27" t="s">
        <v>234</v>
      </c>
      <c r="C17" s="11" t="s">
        <v>391</v>
      </c>
      <c r="D17" s="56"/>
      <c r="E17" s="56"/>
      <c r="F17" s="7"/>
      <c r="G17" s="7"/>
      <c r="H17" s="62" t="s">
        <v>480</v>
      </c>
      <c r="I17" s="11"/>
      <c r="J17" s="11"/>
      <c r="K17" s="48" t="s">
        <v>392</v>
      </c>
      <c r="L17" s="46"/>
      <c r="M17" s="52" t="s">
        <v>283</v>
      </c>
      <c r="N17" s="51">
        <v>1</v>
      </c>
      <c r="O17" s="47">
        <v>0</v>
      </c>
    </row>
    <row r="18" spans="2:15" hidden="1" x14ac:dyDescent="0.25">
      <c r="B18" s="27" t="s">
        <v>234</v>
      </c>
      <c r="C18" s="11" t="s">
        <v>393</v>
      </c>
      <c r="D18" s="56"/>
      <c r="E18" s="56"/>
      <c r="F18" s="7"/>
      <c r="G18" s="7"/>
      <c r="H18" s="61"/>
      <c r="I18" s="11"/>
      <c r="J18" s="11"/>
      <c r="K18" s="48"/>
      <c r="L18" s="46"/>
      <c r="M18" s="51"/>
      <c r="N18" s="51"/>
      <c r="O18" s="47"/>
    </row>
    <row r="19" spans="2:15" ht="39.6" hidden="1" x14ac:dyDescent="0.25">
      <c r="B19" s="27" t="s">
        <v>234</v>
      </c>
      <c r="C19" s="11" t="s">
        <v>393</v>
      </c>
      <c r="D19" s="55" t="s">
        <v>484</v>
      </c>
      <c r="E19" s="55" t="s">
        <v>315</v>
      </c>
      <c r="F19" s="11" t="s">
        <v>235</v>
      </c>
      <c r="G19" s="7">
        <v>0</v>
      </c>
      <c r="H19" s="61" t="s">
        <v>395</v>
      </c>
      <c r="I19" s="11"/>
      <c r="J19" s="11"/>
      <c r="K19" s="48" t="s">
        <v>464</v>
      </c>
      <c r="L19" s="46"/>
      <c r="M19" s="52">
        <v>3</v>
      </c>
      <c r="N19" s="51">
        <v>3</v>
      </c>
      <c r="O19" s="47">
        <v>0</v>
      </c>
    </row>
    <row r="20" spans="2:15" ht="52.8" hidden="1" x14ac:dyDescent="0.25">
      <c r="B20" s="27"/>
      <c r="C20" s="11" t="s">
        <v>393</v>
      </c>
      <c r="D20" s="55" t="s">
        <v>486</v>
      </c>
      <c r="E20" s="55" t="s">
        <v>485</v>
      </c>
      <c r="F20" s="11" t="s">
        <v>235</v>
      </c>
      <c r="G20" s="7">
        <v>0</v>
      </c>
      <c r="H20" s="62" t="s">
        <v>396</v>
      </c>
      <c r="I20" s="11"/>
      <c r="J20" s="11"/>
      <c r="K20" s="48" t="s">
        <v>465</v>
      </c>
      <c r="L20" s="46"/>
      <c r="M20" s="51" t="s">
        <v>368</v>
      </c>
      <c r="N20" s="51">
        <v>3</v>
      </c>
      <c r="O20" s="47">
        <v>0</v>
      </c>
    </row>
    <row r="21" spans="2:15" ht="39.6" hidden="1" x14ac:dyDescent="0.25">
      <c r="B21" s="27" t="s">
        <v>234</v>
      </c>
      <c r="C21" s="11" t="s">
        <v>393</v>
      </c>
      <c r="D21" s="55" t="s">
        <v>488</v>
      </c>
      <c r="E21" s="55" t="s">
        <v>315</v>
      </c>
      <c r="F21" s="11" t="s">
        <v>235</v>
      </c>
      <c r="G21" s="7">
        <v>0</v>
      </c>
      <c r="H21" s="61" t="s">
        <v>398</v>
      </c>
      <c r="I21" s="11"/>
      <c r="J21" s="11"/>
      <c r="K21" s="48" t="s">
        <v>466</v>
      </c>
      <c r="L21" s="46"/>
      <c r="M21" s="52">
        <v>6</v>
      </c>
      <c r="N21" s="51">
        <v>4</v>
      </c>
      <c r="O21" s="47">
        <v>0</v>
      </c>
    </row>
    <row r="22" spans="2:15" ht="52.8" hidden="1" x14ac:dyDescent="0.25">
      <c r="B22" s="27" t="s">
        <v>234</v>
      </c>
      <c r="C22" s="11" t="s">
        <v>393</v>
      </c>
      <c r="D22" s="55" t="s">
        <v>489</v>
      </c>
      <c r="E22" s="55" t="s">
        <v>485</v>
      </c>
      <c r="F22" s="11" t="s">
        <v>235</v>
      </c>
      <c r="G22" s="7">
        <v>0</v>
      </c>
      <c r="H22" s="62" t="s">
        <v>397</v>
      </c>
      <c r="I22" s="11"/>
      <c r="J22" s="11"/>
      <c r="K22" s="48" t="s">
        <v>467</v>
      </c>
      <c r="L22" s="46"/>
      <c r="M22" s="51" t="s">
        <v>283</v>
      </c>
      <c r="N22" s="51">
        <v>4</v>
      </c>
      <c r="O22" s="47">
        <v>0</v>
      </c>
    </row>
    <row r="23" spans="2:15" hidden="1" x14ac:dyDescent="0.25">
      <c r="B23" s="27" t="s">
        <v>234</v>
      </c>
      <c r="C23" s="11" t="s">
        <v>400</v>
      </c>
      <c r="D23" s="56"/>
      <c r="E23" s="55"/>
      <c r="F23" s="7"/>
      <c r="G23" s="7"/>
      <c r="H23" s="9"/>
      <c r="I23" s="11"/>
      <c r="J23" s="11"/>
      <c r="K23" s="48"/>
      <c r="L23" s="46"/>
      <c r="M23" s="52"/>
      <c r="N23" s="51"/>
      <c r="O23" s="47"/>
    </row>
    <row r="24" spans="2:15" ht="39.6" hidden="1" x14ac:dyDescent="0.25">
      <c r="B24" s="27" t="s">
        <v>234</v>
      </c>
      <c r="C24" s="11" t="s">
        <v>400</v>
      </c>
      <c r="D24" s="55"/>
      <c r="E24" s="55"/>
      <c r="F24" s="7"/>
      <c r="G24" s="7"/>
      <c r="H24" s="61" t="s">
        <v>401</v>
      </c>
      <c r="I24" s="11"/>
      <c r="J24" s="11"/>
      <c r="K24" s="48"/>
      <c r="L24" s="46"/>
      <c r="M24" s="52"/>
      <c r="N24" s="51"/>
      <c r="O24" s="47"/>
    </row>
    <row r="25" spans="2:15" ht="39.6" hidden="1" x14ac:dyDescent="0.25">
      <c r="B25" s="27" t="s">
        <v>234</v>
      </c>
      <c r="C25" s="11" t="s">
        <v>400</v>
      </c>
      <c r="D25" s="55" t="s">
        <v>485</v>
      </c>
      <c r="E25" s="55" t="s">
        <v>315</v>
      </c>
      <c r="F25" s="11" t="s">
        <v>235</v>
      </c>
      <c r="G25" s="7"/>
      <c r="H25" s="54" t="s">
        <v>376</v>
      </c>
      <c r="I25" s="11"/>
      <c r="J25" s="11"/>
      <c r="K25" s="48" t="s">
        <v>375</v>
      </c>
      <c r="L25" s="46"/>
      <c r="M25" s="52">
        <v>7</v>
      </c>
      <c r="N25" s="51">
        <v>1</v>
      </c>
      <c r="O25" s="47">
        <v>0</v>
      </c>
    </row>
    <row r="26" spans="2:15" ht="66" hidden="1" x14ac:dyDescent="0.25">
      <c r="B26" s="27" t="s">
        <v>234</v>
      </c>
      <c r="C26" s="11" t="s">
        <v>400</v>
      </c>
      <c r="D26" s="55" t="s">
        <v>485</v>
      </c>
      <c r="E26" s="55" t="s">
        <v>485</v>
      </c>
      <c r="F26" s="11" t="s">
        <v>235</v>
      </c>
      <c r="G26" s="7"/>
      <c r="H26" s="54" t="s">
        <v>481</v>
      </c>
      <c r="I26" s="11"/>
      <c r="J26" s="11"/>
      <c r="K26" s="48" t="s">
        <v>402</v>
      </c>
      <c r="L26" s="46"/>
      <c r="M26" s="52">
        <v>4</v>
      </c>
      <c r="N26" s="51">
        <v>1</v>
      </c>
      <c r="O26" s="47">
        <v>0</v>
      </c>
    </row>
    <row r="27" spans="2:15" ht="79.2" hidden="1" x14ac:dyDescent="0.25">
      <c r="B27" s="27" t="s">
        <v>234</v>
      </c>
      <c r="C27" s="11" t="s">
        <v>400</v>
      </c>
      <c r="D27" s="55" t="s">
        <v>485</v>
      </c>
      <c r="E27" s="55" t="s">
        <v>323</v>
      </c>
      <c r="F27" s="7" t="s">
        <v>235</v>
      </c>
      <c r="G27" s="7"/>
      <c r="H27" s="63" t="s">
        <v>403</v>
      </c>
      <c r="I27" s="33"/>
      <c r="J27" s="33"/>
      <c r="K27" s="50" t="s">
        <v>404</v>
      </c>
      <c r="L27" s="47"/>
      <c r="M27" s="51">
        <v>5</v>
      </c>
      <c r="N27" s="51">
        <v>1</v>
      </c>
      <c r="O27" s="47">
        <v>0</v>
      </c>
    </row>
    <row r="28" spans="2:15" ht="39.6" hidden="1" x14ac:dyDescent="0.25">
      <c r="B28" s="27" t="s">
        <v>234</v>
      </c>
      <c r="C28" s="11" t="s">
        <v>400</v>
      </c>
      <c r="D28" s="56"/>
      <c r="E28" s="56"/>
      <c r="F28" s="7"/>
      <c r="G28" s="7"/>
      <c r="H28" s="54" t="s">
        <v>407</v>
      </c>
      <c r="I28" s="7"/>
      <c r="J28" s="7"/>
      <c r="K28" s="50" t="s">
        <v>406</v>
      </c>
      <c r="L28" s="47"/>
      <c r="M28" s="51">
        <v>-4</v>
      </c>
      <c r="N28" s="51">
        <v>0</v>
      </c>
      <c r="O28" s="47">
        <v>0</v>
      </c>
    </row>
    <row r="29" spans="2:15" ht="39.6" hidden="1" x14ac:dyDescent="0.25">
      <c r="B29" s="27" t="s">
        <v>234</v>
      </c>
      <c r="C29" s="11" t="s">
        <v>400</v>
      </c>
      <c r="D29" s="55" t="s">
        <v>485</v>
      </c>
      <c r="E29" s="55" t="s">
        <v>324</v>
      </c>
      <c r="F29" s="11" t="s">
        <v>235</v>
      </c>
      <c r="G29" s="11"/>
      <c r="H29" s="54" t="s">
        <v>410</v>
      </c>
      <c r="I29" s="11"/>
      <c r="J29" s="11"/>
      <c r="K29" s="48" t="s">
        <v>405</v>
      </c>
      <c r="L29" s="46"/>
      <c r="M29" s="51">
        <v>1</v>
      </c>
      <c r="N29" s="51">
        <v>1</v>
      </c>
      <c r="O29" s="47">
        <v>0</v>
      </c>
    </row>
    <row r="30" spans="2:15" hidden="1" x14ac:dyDescent="0.25">
      <c r="B30" s="27" t="s">
        <v>234</v>
      </c>
      <c r="C30" s="11" t="s">
        <v>400</v>
      </c>
      <c r="D30" s="56"/>
      <c r="E30" s="56"/>
      <c r="F30" s="11"/>
      <c r="G30" s="11"/>
      <c r="H30" s="9" t="s">
        <v>409</v>
      </c>
      <c r="I30" s="11"/>
      <c r="J30" s="11"/>
      <c r="K30" s="48" t="s">
        <v>408</v>
      </c>
      <c r="L30" s="46"/>
      <c r="M30" s="51">
        <v>3</v>
      </c>
      <c r="N30" s="51">
        <v>0</v>
      </c>
      <c r="O30" s="47">
        <v>0</v>
      </c>
    </row>
    <row r="31" spans="2:15" hidden="1" x14ac:dyDescent="0.25">
      <c r="B31" s="27"/>
      <c r="C31" s="11" t="s">
        <v>411</v>
      </c>
      <c r="D31" s="56"/>
      <c r="E31" s="56"/>
      <c r="F31" s="7"/>
      <c r="G31" s="7"/>
      <c r="H31" s="8"/>
      <c r="I31" s="7"/>
      <c r="J31" s="7"/>
      <c r="K31" s="50"/>
      <c r="L31" s="47"/>
      <c r="M31" s="51"/>
      <c r="N31" s="51"/>
      <c r="O31" s="47"/>
    </row>
    <row r="32" spans="2:15" ht="26.4" hidden="1" x14ac:dyDescent="0.25">
      <c r="B32" s="27"/>
      <c r="C32" s="11" t="s">
        <v>411</v>
      </c>
      <c r="D32" s="56"/>
      <c r="E32" s="56"/>
      <c r="F32" s="11"/>
      <c r="G32" s="11"/>
      <c r="H32" s="61" t="s">
        <v>482</v>
      </c>
      <c r="I32" s="11"/>
      <c r="J32" s="11"/>
      <c r="K32" s="48"/>
      <c r="L32" s="46"/>
      <c r="M32" s="51"/>
      <c r="N32" s="51"/>
      <c r="O32" s="47"/>
    </row>
    <row r="33" spans="2:15" hidden="1" x14ac:dyDescent="0.25">
      <c r="B33" s="27" t="s">
        <v>234</v>
      </c>
      <c r="C33" s="11" t="s">
        <v>411</v>
      </c>
      <c r="D33" s="55" t="s">
        <v>323</v>
      </c>
      <c r="E33" s="55" t="s">
        <v>315</v>
      </c>
      <c r="F33" s="11" t="s">
        <v>487</v>
      </c>
      <c r="G33" s="7"/>
      <c r="H33" s="54" t="s">
        <v>412</v>
      </c>
      <c r="I33" s="7"/>
      <c r="J33" s="7"/>
      <c r="K33" s="50" t="s">
        <v>328</v>
      </c>
      <c r="L33" s="47"/>
      <c r="M33" s="51" t="s">
        <v>284</v>
      </c>
      <c r="N33" s="51">
        <v>1</v>
      </c>
      <c r="O33" s="47">
        <v>0</v>
      </c>
    </row>
    <row r="34" spans="2:15" hidden="1" x14ac:dyDescent="0.25">
      <c r="B34" s="27" t="s">
        <v>234</v>
      </c>
      <c r="C34" s="11" t="s">
        <v>411</v>
      </c>
      <c r="D34" s="55" t="s">
        <v>323</v>
      </c>
      <c r="E34" s="55" t="s">
        <v>485</v>
      </c>
      <c r="F34" s="11" t="s">
        <v>487</v>
      </c>
      <c r="G34" s="7"/>
      <c r="H34" s="54" t="s">
        <v>413</v>
      </c>
      <c r="I34" s="7"/>
      <c r="J34" s="7"/>
      <c r="K34" s="50" t="s">
        <v>330</v>
      </c>
      <c r="L34" s="47"/>
      <c r="M34" s="51" t="s">
        <v>329</v>
      </c>
      <c r="N34" s="51">
        <v>1</v>
      </c>
      <c r="O34" s="47">
        <v>0</v>
      </c>
    </row>
    <row r="35" spans="2:15" hidden="1" x14ac:dyDescent="0.25">
      <c r="B35" s="27" t="s">
        <v>234</v>
      </c>
      <c r="C35" s="11" t="s">
        <v>411</v>
      </c>
      <c r="D35" s="55" t="s">
        <v>323</v>
      </c>
      <c r="E35" s="55" t="s">
        <v>323</v>
      </c>
      <c r="F35" s="11" t="s">
        <v>487</v>
      </c>
      <c r="G35" s="7"/>
      <c r="H35" s="54" t="s">
        <v>414</v>
      </c>
      <c r="I35" s="7"/>
      <c r="J35" s="7"/>
      <c r="K35" s="50" t="s">
        <v>331</v>
      </c>
      <c r="L35" s="47"/>
      <c r="M35" s="51" t="s">
        <v>329</v>
      </c>
      <c r="N35" s="51">
        <v>1</v>
      </c>
      <c r="O35" s="47">
        <v>0</v>
      </c>
    </row>
    <row r="36" spans="2:15" hidden="1" x14ac:dyDescent="0.25">
      <c r="B36" s="27" t="s">
        <v>234</v>
      </c>
      <c r="C36" s="11" t="s">
        <v>411</v>
      </c>
      <c r="D36" s="55" t="s">
        <v>323</v>
      </c>
      <c r="E36" s="55" t="s">
        <v>324</v>
      </c>
      <c r="F36" s="11" t="s">
        <v>487</v>
      </c>
      <c r="G36" s="7"/>
      <c r="H36" s="54" t="s">
        <v>415</v>
      </c>
      <c r="I36" s="7"/>
      <c r="J36" s="7"/>
      <c r="K36" s="50" t="s">
        <v>332</v>
      </c>
      <c r="L36" s="47"/>
      <c r="M36" s="51" t="s">
        <v>329</v>
      </c>
      <c r="N36" s="51">
        <v>1</v>
      </c>
      <c r="O36" s="47">
        <v>0</v>
      </c>
    </row>
    <row r="37" spans="2:15" hidden="1" x14ac:dyDescent="0.25">
      <c r="B37" s="27" t="s">
        <v>234</v>
      </c>
      <c r="C37" s="11" t="s">
        <v>411</v>
      </c>
      <c r="D37" s="55" t="s">
        <v>323</v>
      </c>
      <c r="E37" s="55" t="s">
        <v>309</v>
      </c>
      <c r="F37" s="11" t="s">
        <v>487</v>
      </c>
      <c r="G37" s="7"/>
      <c r="H37" s="54" t="s">
        <v>416</v>
      </c>
      <c r="I37" s="7"/>
      <c r="J37" s="7"/>
      <c r="K37" s="50" t="s">
        <v>333</v>
      </c>
      <c r="L37" s="47"/>
      <c r="M37" s="51" t="s">
        <v>329</v>
      </c>
      <c r="N37" s="51">
        <v>1</v>
      </c>
      <c r="O37" s="47">
        <v>0</v>
      </c>
    </row>
    <row r="38" spans="2:15" hidden="1" x14ac:dyDescent="0.25">
      <c r="B38" s="27" t="s">
        <v>234</v>
      </c>
      <c r="C38" s="11" t="s">
        <v>411</v>
      </c>
      <c r="D38" s="55" t="s">
        <v>323</v>
      </c>
      <c r="E38" s="55" t="s">
        <v>326</v>
      </c>
      <c r="F38" s="11" t="s">
        <v>487</v>
      </c>
      <c r="G38" s="7"/>
      <c r="H38" s="54" t="s">
        <v>417</v>
      </c>
      <c r="I38" s="7"/>
      <c r="J38" s="7"/>
      <c r="K38" s="50" t="s">
        <v>334</v>
      </c>
      <c r="L38" s="47"/>
      <c r="M38" s="47" t="s">
        <v>329</v>
      </c>
      <c r="N38" s="47">
        <v>1</v>
      </c>
      <c r="O38" s="47">
        <v>0</v>
      </c>
    </row>
    <row r="39" spans="2:15" hidden="1" x14ac:dyDescent="0.25">
      <c r="B39" s="27" t="s">
        <v>234</v>
      </c>
      <c r="C39" s="11" t="s">
        <v>411</v>
      </c>
      <c r="D39" s="55" t="s">
        <v>323</v>
      </c>
      <c r="E39" s="55" t="s">
        <v>327</v>
      </c>
      <c r="F39" s="11" t="s">
        <v>487</v>
      </c>
      <c r="G39" s="7"/>
      <c r="H39" s="54" t="s">
        <v>418</v>
      </c>
      <c r="I39" s="7"/>
      <c r="J39" s="7"/>
      <c r="K39" s="50" t="s">
        <v>335</v>
      </c>
      <c r="L39" s="47"/>
      <c r="M39" s="51" t="s">
        <v>329</v>
      </c>
      <c r="N39" s="51">
        <v>1</v>
      </c>
      <c r="O39" s="47">
        <v>0</v>
      </c>
    </row>
    <row r="40" spans="2:15" hidden="1" x14ac:dyDescent="0.25">
      <c r="B40" s="27" t="s">
        <v>234</v>
      </c>
      <c r="C40" s="11" t="s">
        <v>411</v>
      </c>
      <c r="D40" s="55" t="s">
        <v>323</v>
      </c>
      <c r="E40" s="55" t="s">
        <v>426</v>
      </c>
      <c r="F40" s="11" t="s">
        <v>487</v>
      </c>
      <c r="G40" s="11"/>
      <c r="H40" s="54" t="s">
        <v>419</v>
      </c>
      <c r="I40" s="7"/>
      <c r="J40" s="7"/>
      <c r="K40" s="50" t="s">
        <v>336</v>
      </c>
      <c r="L40" s="47"/>
      <c r="M40" s="47" t="s">
        <v>329</v>
      </c>
      <c r="N40" s="47">
        <v>1</v>
      </c>
      <c r="O40" s="47">
        <v>0</v>
      </c>
    </row>
    <row r="41" spans="2:15" hidden="1" x14ac:dyDescent="0.25">
      <c r="B41" s="27" t="s">
        <v>234</v>
      </c>
      <c r="C41" s="11" t="s">
        <v>411</v>
      </c>
      <c r="D41" s="55" t="s">
        <v>324</v>
      </c>
      <c r="E41" s="55" t="s">
        <v>315</v>
      </c>
      <c r="F41" s="11" t="s">
        <v>487</v>
      </c>
      <c r="G41" s="7"/>
      <c r="H41" s="54" t="s">
        <v>420</v>
      </c>
      <c r="I41" s="7"/>
      <c r="J41" s="7"/>
      <c r="K41" s="50" t="s">
        <v>337</v>
      </c>
      <c r="L41" s="47"/>
      <c r="M41" s="47" t="s">
        <v>329</v>
      </c>
      <c r="N41" s="47">
        <v>1</v>
      </c>
      <c r="O41" s="47">
        <v>0</v>
      </c>
    </row>
    <row r="42" spans="2:15" hidden="1" x14ac:dyDescent="0.25">
      <c r="B42" s="27" t="s">
        <v>234</v>
      </c>
      <c r="C42" s="11" t="s">
        <v>411</v>
      </c>
      <c r="D42" s="55" t="s">
        <v>324</v>
      </c>
      <c r="E42" s="55" t="s">
        <v>485</v>
      </c>
      <c r="F42" s="11" t="s">
        <v>487</v>
      </c>
      <c r="G42" s="11"/>
      <c r="H42" s="54" t="s">
        <v>421</v>
      </c>
      <c r="I42" s="7"/>
      <c r="J42" s="7"/>
      <c r="K42" s="50" t="s">
        <v>338</v>
      </c>
      <c r="L42" s="47"/>
      <c r="M42" s="47" t="s">
        <v>329</v>
      </c>
      <c r="N42" s="47">
        <v>1</v>
      </c>
      <c r="O42" s="47">
        <v>0</v>
      </c>
    </row>
    <row r="43" spans="2:15" hidden="1" x14ac:dyDescent="0.25">
      <c r="B43" s="27" t="s">
        <v>234</v>
      </c>
      <c r="C43" s="11" t="s">
        <v>411</v>
      </c>
      <c r="D43" s="55" t="s">
        <v>324</v>
      </c>
      <c r="E43" s="55" t="s">
        <v>323</v>
      </c>
      <c r="F43" s="11" t="s">
        <v>487</v>
      </c>
      <c r="G43" s="7"/>
      <c r="H43" s="54" t="s">
        <v>422</v>
      </c>
      <c r="I43" s="7"/>
      <c r="J43" s="7"/>
      <c r="K43" s="50" t="s">
        <v>339</v>
      </c>
      <c r="L43" s="47"/>
      <c r="M43" s="47" t="s">
        <v>329</v>
      </c>
      <c r="N43" s="47">
        <v>1</v>
      </c>
      <c r="O43" s="47">
        <v>0</v>
      </c>
    </row>
    <row r="44" spans="2:15" hidden="1" x14ac:dyDescent="0.25">
      <c r="B44" s="27" t="s">
        <v>234</v>
      </c>
      <c r="C44" s="11" t="s">
        <v>411</v>
      </c>
      <c r="D44" s="55" t="s">
        <v>324</v>
      </c>
      <c r="E44" s="55" t="s">
        <v>324</v>
      </c>
      <c r="F44" s="11" t="s">
        <v>487</v>
      </c>
      <c r="G44" s="7"/>
      <c r="H44" s="54" t="s">
        <v>423</v>
      </c>
      <c r="I44" s="7"/>
      <c r="J44" s="7"/>
      <c r="K44" s="50" t="s">
        <v>340</v>
      </c>
      <c r="L44" s="53"/>
      <c r="M44" s="47" t="s">
        <v>329</v>
      </c>
      <c r="N44" s="47">
        <v>1</v>
      </c>
      <c r="O44" s="47">
        <v>0</v>
      </c>
    </row>
    <row r="45" spans="2:15" hidden="1" x14ac:dyDescent="0.25">
      <c r="B45" s="27" t="s">
        <v>234</v>
      </c>
      <c r="C45" s="11" t="s">
        <v>411</v>
      </c>
      <c r="D45" s="55" t="s">
        <v>324</v>
      </c>
      <c r="E45" s="55" t="s">
        <v>309</v>
      </c>
      <c r="F45" s="11" t="s">
        <v>487</v>
      </c>
      <c r="G45" s="7"/>
      <c r="H45" s="54" t="s">
        <v>424</v>
      </c>
      <c r="I45" s="7"/>
      <c r="J45" s="7"/>
      <c r="K45" s="50" t="s">
        <v>341</v>
      </c>
      <c r="L45" s="47"/>
      <c r="M45" s="47" t="s">
        <v>329</v>
      </c>
      <c r="N45" s="47">
        <v>1</v>
      </c>
      <c r="O45" s="47">
        <v>0</v>
      </c>
    </row>
    <row r="46" spans="2:15" hidden="1" x14ac:dyDescent="0.25">
      <c r="B46" s="27" t="s">
        <v>234</v>
      </c>
      <c r="C46" s="11" t="s">
        <v>411</v>
      </c>
      <c r="D46" s="55" t="s">
        <v>324</v>
      </c>
      <c r="E46" s="55" t="s">
        <v>326</v>
      </c>
      <c r="F46" s="11" t="s">
        <v>487</v>
      </c>
      <c r="G46" s="7"/>
      <c r="H46" s="54" t="s">
        <v>425</v>
      </c>
      <c r="I46" s="7"/>
      <c r="J46" s="7"/>
      <c r="K46" s="50" t="s">
        <v>342</v>
      </c>
      <c r="L46" s="47"/>
      <c r="M46" s="47" t="s">
        <v>329</v>
      </c>
      <c r="N46" s="47">
        <v>1</v>
      </c>
      <c r="O46" s="47">
        <v>0</v>
      </c>
    </row>
    <row r="47" spans="2:15" ht="26.4" hidden="1" x14ac:dyDescent="0.25">
      <c r="B47" s="27" t="s">
        <v>234</v>
      </c>
      <c r="C47" s="11" t="s">
        <v>411</v>
      </c>
      <c r="D47" s="55" t="s">
        <v>324</v>
      </c>
      <c r="E47" s="55" t="s">
        <v>327</v>
      </c>
      <c r="F47" s="11" t="s">
        <v>487</v>
      </c>
      <c r="G47" s="7"/>
      <c r="H47" s="54" t="s">
        <v>446</v>
      </c>
      <c r="I47" s="7"/>
      <c r="J47" s="7"/>
      <c r="K47" s="50" t="s">
        <v>434</v>
      </c>
      <c r="L47" s="47"/>
      <c r="M47" s="47" t="s">
        <v>329</v>
      </c>
      <c r="N47" s="47">
        <v>1</v>
      </c>
      <c r="O47" s="47">
        <v>0</v>
      </c>
    </row>
    <row r="48" spans="2:15" hidden="1" x14ac:dyDescent="0.25">
      <c r="B48" s="27" t="s">
        <v>234</v>
      </c>
      <c r="C48" s="11" t="s">
        <v>411</v>
      </c>
      <c r="D48" s="55" t="s">
        <v>324</v>
      </c>
      <c r="E48" s="55" t="s">
        <v>426</v>
      </c>
      <c r="F48" s="11" t="s">
        <v>487</v>
      </c>
      <c r="G48" s="7"/>
      <c r="H48" s="54" t="s">
        <v>447</v>
      </c>
      <c r="I48" s="7"/>
      <c r="J48" s="7"/>
      <c r="K48" s="50" t="s">
        <v>435</v>
      </c>
      <c r="L48" s="47"/>
      <c r="M48" s="47" t="s">
        <v>329</v>
      </c>
      <c r="N48" s="47">
        <v>1</v>
      </c>
      <c r="O48" s="47">
        <v>0</v>
      </c>
    </row>
    <row r="49" spans="2:15" ht="26.4" hidden="1" x14ac:dyDescent="0.25">
      <c r="B49" s="27" t="s">
        <v>234</v>
      </c>
      <c r="C49" s="11" t="s">
        <v>411</v>
      </c>
      <c r="D49" s="55" t="s">
        <v>309</v>
      </c>
      <c r="E49" s="55" t="s">
        <v>315</v>
      </c>
      <c r="F49" s="11" t="s">
        <v>487</v>
      </c>
      <c r="G49" s="7"/>
      <c r="H49" s="54" t="s">
        <v>448</v>
      </c>
      <c r="I49" s="7"/>
      <c r="J49" s="7"/>
      <c r="K49" s="50" t="s">
        <v>436</v>
      </c>
      <c r="L49" s="47"/>
      <c r="M49" s="47" t="s">
        <v>329</v>
      </c>
      <c r="N49" s="47">
        <v>1</v>
      </c>
      <c r="O49" s="47">
        <v>0</v>
      </c>
    </row>
    <row r="50" spans="2:15" ht="26.4" hidden="1" x14ac:dyDescent="0.25">
      <c r="B50" s="27" t="s">
        <v>234</v>
      </c>
      <c r="C50" s="11" t="s">
        <v>411</v>
      </c>
      <c r="D50" s="55" t="s">
        <v>309</v>
      </c>
      <c r="E50" s="55" t="s">
        <v>485</v>
      </c>
      <c r="F50" s="11" t="s">
        <v>487</v>
      </c>
      <c r="G50" s="7"/>
      <c r="H50" s="54" t="s">
        <v>449</v>
      </c>
      <c r="I50" s="7"/>
      <c r="J50" s="7"/>
      <c r="K50" s="50" t="s">
        <v>437</v>
      </c>
      <c r="L50" s="47"/>
      <c r="M50" s="47" t="s">
        <v>329</v>
      </c>
      <c r="N50" s="47">
        <v>1</v>
      </c>
      <c r="O50" s="47">
        <v>0</v>
      </c>
    </row>
    <row r="51" spans="2:15" hidden="1" x14ac:dyDescent="0.25">
      <c r="B51" s="27" t="s">
        <v>234</v>
      </c>
      <c r="C51" s="11" t="s">
        <v>411</v>
      </c>
      <c r="D51" s="55" t="s">
        <v>309</v>
      </c>
      <c r="E51" s="55" t="s">
        <v>323</v>
      </c>
      <c r="F51" s="11" t="s">
        <v>487</v>
      </c>
      <c r="G51" s="7"/>
      <c r="H51" s="54" t="s">
        <v>450</v>
      </c>
      <c r="I51" s="7"/>
      <c r="J51" s="7"/>
      <c r="K51" s="50" t="s">
        <v>438</v>
      </c>
      <c r="L51" s="47"/>
      <c r="M51" s="47" t="s">
        <v>329</v>
      </c>
      <c r="N51" s="47">
        <v>1</v>
      </c>
      <c r="O51" s="47">
        <v>0</v>
      </c>
    </row>
    <row r="52" spans="2:15" hidden="1" x14ac:dyDescent="0.25">
      <c r="B52" s="27" t="s">
        <v>234</v>
      </c>
      <c r="C52" s="11" t="s">
        <v>411</v>
      </c>
      <c r="D52" s="55" t="s">
        <v>309</v>
      </c>
      <c r="E52" s="55" t="s">
        <v>324</v>
      </c>
      <c r="F52" s="11" t="s">
        <v>487</v>
      </c>
      <c r="G52" s="7"/>
      <c r="H52" s="54" t="s">
        <v>451</v>
      </c>
      <c r="I52" s="7"/>
      <c r="J52" s="7"/>
      <c r="K52" s="50" t="s">
        <v>439</v>
      </c>
      <c r="L52" s="47"/>
      <c r="M52" s="47" t="s">
        <v>329</v>
      </c>
      <c r="N52" s="47">
        <v>1</v>
      </c>
      <c r="O52" s="47">
        <v>0</v>
      </c>
    </row>
    <row r="53" spans="2:15" hidden="1" x14ac:dyDescent="0.25">
      <c r="B53" s="27" t="s">
        <v>234</v>
      </c>
      <c r="C53" s="11" t="s">
        <v>411</v>
      </c>
      <c r="D53" s="55" t="s">
        <v>309</v>
      </c>
      <c r="E53" s="55" t="s">
        <v>309</v>
      </c>
      <c r="F53" s="11" t="s">
        <v>487</v>
      </c>
      <c r="G53" s="7"/>
      <c r="H53" s="54" t="s">
        <v>452</v>
      </c>
      <c r="I53" s="7"/>
      <c r="J53" s="7"/>
      <c r="K53" s="50" t="s">
        <v>440</v>
      </c>
      <c r="L53" s="47"/>
      <c r="M53" s="47" t="s">
        <v>329</v>
      </c>
      <c r="N53" s="47">
        <v>1</v>
      </c>
      <c r="O53" s="47">
        <v>0</v>
      </c>
    </row>
    <row r="54" spans="2:15" hidden="1" x14ac:dyDescent="0.25">
      <c r="B54" s="27" t="s">
        <v>234</v>
      </c>
      <c r="C54" s="11" t="s">
        <v>411</v>
      </c>
      <c r="D54" s="55" t="s">
        <v>309</v>
      </c>
      <c r="E54" s="55" t="s">
        <v>326</v>
      </c>
      <c r="F54" s="11" t="s">
        <v>487</v>
      </c>
      <c r="G54" s="7"/>
      <c r="H54" s="54" t="s">
        <v>453</v>
      </c>
      <c r="I54" s="7"/>
      <c r="J54" s="7"/>
      <c r="K54" s="50" t="s">
        <v>441</v>
      </c>
      <c r="L54" s="47"/>
      <c r="M54" s="47" t="s">
        <v>329</v>
      </c>
      <c r="N54" s="47">
        <v>1</v>
      </c>
      <c r="O54" s="47">
        <v>0</v>
      </c>
    </row>
    <row r="55" spans="2:15" ht="26.4" hidden="1" x14ac:dyDescent="0.25">
      <c r="B55" s="27" t="s">
        <v>234</v>
      </c>
      <c r="C55" s="11" t="s">
        <v>411</v>
      </c>
      <c r="D55" s="55" t="s">
        <v>309</v>
      </c>
      <c r="E55" s="55" t="s">
        <v>327</v>
      </c>
      <c r="F55" s="11" t="s">
        <v>487</v>
      </c>
      <c r="G55" s="7"/>
      <c r="H55" s="54" t="s">
        <v>454</v>
      </c>
      <c r="I55" s="7"/>
      <c r="J55" s="7"/>
      <c r="K55" s="50" t="s">
        <v>442</v>
      </c>
      <c r="L55" s="47"/>
      <c r="M55" s="47" t="s">
        <v>329</v>
      </c>
      <c r="N55" s="47">
        <v>1</v>
      </c>
      <c r="O55" s="47">
        <v>0</v>
      </c>
    </row>
    <row r="56" spans="2:15" hidden="1" x14ac:dyDescent="0.25">
      <c r="B56" s="27" t="s">
        <v>234</v>
      </c>
      <c r="C56" s="11" t="s">
        <v>455</v>
      </c>
      <c r="D56" s="55"/>
      <c r="E56" s="55"/>
      <c r="F56" s="11"/>
      <c r="G56" s="7"/>
      <c r="H56" s="54"/>
      <c r="I56" s="7"/>
      <c r="J56" s="7"/>
      <c r="K56" s="50"/>
      <c r="L56" s="47"/>
      <c r="M56" s="47"/>
      <c r="N56" s="47"/>
      <c r="O56" s="47"/>
    </row>
    <row r="57" spans="2:15" ht="145.19999999999999" hidden="1" x14ac:dyDescent="0.25">
      <c r="B57" s="27"/>
      <c r="C57" s="11" t="s">
        <v>455</v>
      </c>
      <c r="D57" s="55"/>
      <c r="E57" s="56"/>
      <c r="F57" s="11"/>
      <c r="G57" s="7"/>
      <c r="H57" s="61" t="s">
        <v>483</v>
      </c>
      <c r="I57" s="7"/>
      <c r="J57" s="7"/>
      <c r="K57" s="50"/>
      <c r="L57" s="47"/>
      <c r="M57" s="47"/>
      <c r="N57" s="47"/>
      <c r="O57" s="47"/>
    </row>
    <row r="58" spans="2:15" hidden="1" x14ac:dyDescent="0.25">
      <c r="B58" s="27" t="s">
        <v>234</v>
      </c>
      <c r="C58" s="11" t="s">
        <v>455</v>
      </c>
      <c r="D58" s="55" t="s">
        <v>323</v>
      </c>
      <c r="E58" s="55" t="s">
        <v>315</v>
      </c>
      <c r="F58" s="11" t="s">
        <v>487</v>
      </c>
      <c r="G58" s="7"/>
      <c r="H58" s="54" t="s">
        <v>412</v>
      </c>
      <c r="I58" s="7"/>
      <c r="J58" s="7"/>
      <c r="K58" s="50" t="s">
        <v>302</v>
      </c>
      <c r="L58" s="47"/>
      <c r="M58" s="47" t="s">
        <v>286</v>
      </c>
      <c r="N58" s="47">
        <v>1</v>
      </c>
      <c r="O58" s="47">
        <v>0</v>
      </c>
    </row>
    <row r="59" spans="2:15" hidden="1" x14ac:dyDescent="0.25">
      <c r="B59" s="27" t="s">
        <v>234</v>
      </c>
      <c r="C59" s="11" t="s">
        <v>455</v>
      </c>
      <c r="D59" s="55" t="s">
        <v>323</v>
      </c>
      <c r="E59" s="55" t="s">
        <v>485</v>
      </c>
      <c r="F59" s="11" t="s">
        <v>487</v>
      </c>
      <c r="G59" s="7"/>
      <c r="H59" s="54" t="s">
        <v>413</v>
      </c>
      <c r="I59" s="7"/>
      <c r="J59" s="7"/>
      <c r="K59" s="50" t="s">
        <v>303</v>
      </c>
      <c r="L59" s="47"/>
      <c r="M59" s="47" t="s">
        <v>325</v>
      </c>
      <c r="N59" s="47">
        <v>1</v>
      </c>
      <c r="O59" s="47">
        <v>0</v>
      </c>
    </row>
    <row r="60" spans="2:15" hidden="1" x14ac:dyDescent="0.25">
      <c r="B60" s="27" t="s">
        <v>234</v>
      </c>
      <c r="C60" s="11" t="s">
        <v>455</v>
      </c>
      <c r="D60" s="55" t="s">
        <v>323</v>
      </c>
      <c r="E60" s="55" t="s">
        <v>323</v>
      </c>
      <c r="F60" s="11" t="s">
        <v>487</v>
      </c>
      <c r="G60" s="7"/>
      <c r="H60" s="54" t="s">
        <v>414</v>
      </c>
      <c r="I60" s="7"/>
      <c r="J60" s="7"/>
      <c r="K60" s="50" t="s">
        <v>304</v>
      </c>
      <c r="L60" s="47"/>
      <c r="M60" s="47" t="s">
        <v>325</v>
      </c>
      <c r="N60" s="47">
        <v>1</v>
      </c>
      <c r="O60" s="47">
        <v>0</v>
      </c>
    </row>
    <row r="61" spans="2:15" hidden="1" x14ac:dyDescent="0.25">
      <c r="B61" s="27" t="s">
        <v>234</v>
      </c>
      <c r="C61" s="11" t="s">
        <v>455</v>
      </c>
      <c r="D61" s="55" t="s">
        <v>323</v>
      </c>
      <c r="E61" s="55" t="s">
        <v>324</v>
      </c>
      <c r="F61" s="11" t="s">
        <v>487</v>
      </c>
      <c r="G61" s="7"/>
      <c r="H61" s="54" t="s">
        <v>415</v>
      </c>
      <c r="I61" s="7"/>
      <c r="J61" s="7"/>
      <c r="K61" s="50" t="s">
        <v>305</v>
      </c>
      <c r="L61" s="47"/>
      <c r="M61" s="47" t="s">
        <v>325</v>
      </c>
      <c r="N61" s="47">
        <v>1</v>
      </c>
      <c r="O61" s="47">
        <v>0</v>
      </c>
    </row>
    <row r="62" spans="2:15" hidden="1" x14ac:dyDescent="0.25">
      <c r="B62" s="27" t="s">
        <v>234</v>
      </c>
      <c r="C62" s="11" t="s">
        <v>455</v>
      </c>
      <c r="D62" s="55" t="s">
        <v>323</v>
      </c>
      <c r="E62" s="55" t="s">
        <v>309</v>
      </c>
      <c r="F62" s="11" t="s">
        <v>487</v>
      </c>
      <c r="G62" s="7"/>
      <c r="H62" s="54" t="s">
        <v>416</v>
      </c>
      <c r="I62" s="7"/>
      <c r="J62" s="7"/>
      <c r="K62" s="50" t="s">
        <v>306</v>
      </c>
      <c r="L62" s="47"/>
      <c r="M62" s="47" t="s">
        <v>325</v>
      </c>
      <c r="N62" s="47">
        <v>1</v>
      </c>
      <c r="O62" s="47">
        <v>0</v>
      </c>
    </row>
    <row r="63" spans="2:15" ht="26.4" hidden="1" x14ac:dyDescent="0.25">
      <c r="B63" s="27" t="s">
        <v>234</v>
      </c>
      <c r="C63" s="11" t="s">
        <v>455</v>
      </c>
      <c r="D63" s="55" t="s">
        <v>324</v>
      </c>
      <c r="E63" s="55" t="s">
        <v>327</v>
      </c>
      <c r="F63" s="11" t="s">
        <v>487</v>
      </c>
      <c r="G63" s="7"/>
      <c r="H63" s="54" t="s">
        <v>446</v>
      </c>
      <c r="I63" s="7"/>
      <c r="J63" s="7"/>
      <c r="K63" s="50" t="s">
        <v>456</v>
      </c>
      <c r="L63" s="47"/>
      <c r="M63" s="47" t="s">
        <v>325</v>
      </c>
      <c r="N63" s="47">
        <v>1</v>
      </c>
      <c r="O63" s="47">
        <v>0</v>
      </c>
    </row>
    <row r="64" spans="2:15" hidden="1" x14ac:dyDescent="0.25">
      <c r="B64" s="27" t="s">
        <v>234</v>
      </c>
      <c r="C64" s="11" t="s">
        <v>455</v>
      </c>
      <c r="D64" s="55" t="s">
        <v>324</v>
      </c>
      <c r="E64" s="55" t="s">
        <v>426</v>
      </c>
      <c r="F64" s="11" t="s">
        <v>487</v>
      </c>
      <c r="G64" s="7"/>
      <c r="H64" s="54" t="s">
        <v>447</v>
      </c>
      <c r="I64" s="7"/>
      <c r="J64" s="7"/>
      <c r="K64" s="50" t="s">
        <v>457</v>
      </c>
      <c r="L64" s="47"/>
      <c r="M64" s="47" t="s">
        <v>325</v>
      </c>
      <c r="N64" s="47">
        <v>1</v>
      </c>
      <c r="O64" s="47">
        <v>0</v>
      </c>
    </row>
    <row r="65" spans="2:15" ht="26.4" hidden="1" x14ac:dyDescent="0.25">
      <c r="B65" s="27" t="s">
        <v>234</v>
      </c>
      <c r="C65" s="11" t="s">
        <v>455</v>
      </c>
      <c r="D65" s="55" t="s">
        <v>309</v>
      </c>
      <c r="E65" s="55" t="s">
        <v>315</v>
      </c>
      <c r="F65" s="11" t="s">
        <v>487</v>
      </c>
      <c r="G65" s="7"/>
      <c r="H65" s="54" t="s">
        <v>459</v>
      </c>
      <c r="I65" s="7"/>
      <c r="J65" s="7"/>
      <c r="K65" s="50" t="s">
        <v>458</v>
      </c>
      <c r="L65" s="47"/>
      <c r="M65" s="47" t="s">
        <v>325</v>
      </c>
      <c r="N65" s="47">
        <v>1</v>
      </c>
      <c r="O65" s="47">
        <v>0</v>
      </c>
    </row>
    <row r="66" spans="2:15" ht="26.4" hidden="1" x14ac:dyDescent="0.25">
      <c r="B66" s="27" t="s">
        <v>234</v>
      </c>
      <c r="C66" s="11" t="s">
        <v>455</v>
      </c>
      <c r="D66" s="55" t="s">
        <v>309</v>
      </c>
      <c r="E66" s="55" t="s">
        <v>485</v>
      </c>
      <c r="F66" s="11" t="s">
        <v>487</v>
      </c>
      <c r="G66" s="7"/>
      <c r="H66" s="54" t="s">
        <v>460</v>
      </c>
      <c r="I66" s="7"/>
      <c r="J66" s="7"/>
      <c r="K66" s="50" t="s">
        <v>461</v>
      </c>
      <c r="L66" s="47"/>
      <c r="M66" s="47" t="s">
        <v>325</v>
      </c>
      <c r="N66" s="47">
        <v>1</v>
      </c>
      <c r="O66" s="47">
        <v>0</v>
      </c>
    </row>
    <row r="67" spans="2:15" hidden="1" x14ac:dyDescent="0.25">
      <c r="B67" s="64" t="s">
        <v>234</v>
      </c>
      <c r="C67" s="70" t="s">
        <v>455</v>
      </c>
      <c r="D67" s="55" t="s">
        <v>309</v>
      </c>
      <c r="E67" s="55" t="s">
        <v>323</v>
      </c>
      <c r="F67" s="11" t="s">
        <v>487</v>
      </c>
      <c r="G67" s="65"/>
      <c r="H67" s="71" t="s">
        <v>450</v>
      </c>
      <c r="I67" s="65"/>
      <c r="J67" s="65"/>
      <c r="K67" s="68" t="s">
        <v>462</v>
      </c>
      <c r="L67" s="69"/>
      <c r="M67" s="69" t="s">
        <v>325</v>
      </c>
      <c r="N67" s="69">
        <v>1</v>
      </c>
      <c r="O67" s="69">
        <v>0</v>
      </c>
    </row>
    <row r="68" spans="2:15" hidden="1" x14ac:dyDescent="0.25">
      <c r="B68" s="27" t="s">
        <v>234</v>
      </c>
      <c r="C68" s="11" t="s">
        <v>455</v>
      </c>
      <c r="D68" s="55" t="s">
        <v>309</v>
      </c>
      <c r="E68" s="55" t="s">
        <v>324</v>
      </c>
      <c r="F68" s="11" t="s">
        <v>487</v>
      </c>
      <c r="G68" s="7"/>
      <c r="H68" s="54" t="s">
        <v>451</v>
      </c>
      <c r="I68" s="7"/>
      <c r="J68" s="7"/>
      <c r="K68" s="50" t="s">
        <v>463</v>
      </c>
      <c r="L68" s="47"/>
      <c r="M68" s="47" t="s">
        <v>325</v>
      </c>
      <c r="N68" s="47">
        <v>1</v>
      </c>
      <c r="O68" s="47">
        <v>0</v>
      </c>
    </row>
    <row r="69" spans="2:15" x14ac:dyDescent="0.25">
      <c r="B69" s="103"/>
      <c r="C69" s="106"/>
      <c r="D69" s="105"/>
      <c r="E69" s="106"/>
      <c r="F69" s="106"/>
      <c r="G69" s="106"/>
      <c r="H69" s="128"/>
      <c r="I69" s="106"/>
      <c r="J69" s="106"/>
      <c r="K69" s="129"/>
      <c r="L69" s="130"/>
      <c r="M69" s="130"/>
      <c r="N69" s="100"/>
      <c r="O69" s="47"/>
    </row>
    <row r="70" spans="2:15" x14ac:dyDescent="0.25">
      <c r="B70" s="111"/>
      <c r="C70" s="119"/>
      <c r="D70" s="118"/>
      <c r="E70" s="119"/>
      <c r="F70" s="119"/>
      <c r="G70" s="119"/>
      <c r="H70" s="131"/>
      <c r="I70" s="119"/>
      <c r="J70" s="119"/>
      <c r="K70" s="132"/>
      <c r="L70" s="133"/>
      <c r="M70" s="133"/>
      <c r="N70" s="140"/>
      <c r="O70" s="69"/>
    </row>
    <row r="71" spans="2:15" x14ac:dyDescent="0.25">
      <c r="B71" s="111"/>
      <c r="C71" s="119"/>
      <c r="D71" s="118"/>
      <c r="E71" s="119"/>
      <c r="F71" s="119"/>
      <c r="G71" s="119"/>
      <c r="H71" s="131"/>
      <c r="I71" s="119"/>
      <c r="J71" s="119"/>
      <c r="K71" s="132"/>
      <c r="L71" s="133"/>
      <c r="M71" s="133"/>
      <c r="N71" s="100"/>
      <c r="O71" s="47"/>
    </row>
    <row r="72" spans="2:15" x14ac:dyDescent="0.25">
      <c r="B72" s="111"/>
      <c r="C72" s="119"/>
      <c r="D72" s="134"/>
      <c r="E72" s="119"/>
      <c r="F72" s="119"/>
      <c r="G72" s="119"/>
      <c r="H72" s="131"/>
      <c r="I72" s="119"/>
      <c r="J72" s="119"/>
      <c r="K72" s="132"/>
      <c r="L72" s="133"/>
      <c r="M72" s="133"/>
      <c r="N72" s="100"/>
      <c r="O72" s="47"/>
    </row>
    <row r="73" spans="2:15" x14ac:dyDescent="0.25">
      <c r="B73" s="111"/>
      <c r="C73" s="119"/>
      <c r="D73" s="134"/>
      <c r="E73" s="119"/>
      <c r="F73" s="119"/>
      <c r="G73" s="119"/>
      <c r="H73" s="131"/>
      <c r="I73" s="119"/>
      <c r="J73" s="119"/>
      <c r="K73" s="132"/>
      <c r="L73" s="133"/>
      <c r="M73" s="133"/>
      <c r="N73" s="100"/>
      <c r="O73" s="47"/>
    </row>
    <row r="74" spans="2:15" x14ac:dyDescent="0.25">
      <c r="B74" s="111"/>
      <c r="C74" s="119"/>
      <c r="D74" s="134"/>
      <c r="E74" s="119"/>
      <c r="F74" s="119"/>
      <c r="G74" s="119"/>
      <c r="H74" s="131"/>
      <c r="I74" s="119"/>
      <c r="J74" s="119"/>
      <c r="K74" s="132"/>
      <c r="L74" s="133"/>
      <c r="M74" s="133"/>
      <c r="N74" s="100"/>
      <c r="O74" s="47"/>
    </row>
    <row r="75" spans="2:15" x14ac:dyDescent="0.25">
      <c r="B75" s="111"/>
      <c r="C75" s="119"/>
      <c r="D75" s="134"/>
      <c r="E75" s="119"/>
      <c r="F75" s="119"/>
      <c r="G75" s="119"/>
      <c r="H75" s="131"/>
      <c r="I75" s="119"/>
      <c r="J75" s="119"/>
      <c r="K75" s="132"/>
      <c r="L75" s="133"/>
      <c r="M75" s="133"/>
      <c r="N75" s="100"/>
      <c r="O75" s="47"/>
    </row>
    <row r="76" spans="2:15" x14ac:dyDescent="0.25">
      <c r="B76" s="111"/>
      <c r="C76" s="119"/>
      <c r="D76" s="134"/>
      <c r="E76" s="119"/>
      <c r="F76" s="119"/>
      <c r="G76" s="119"/>
      <c r="H76" s="131"/>
      <c r="I76" s="119"/>
      <c r="J76" s="119"/>
      <c r="K76" s="132"/>
      <c r="L76" s="133"/>
      <c r="M76" s="133"/>
      <c r="N76" s="100"/>
      <c r="O76" s="47"/>
    </row>
    <row r="77" spans="2:15" x14ac:dyDescent="0.25">
      <c r="B77" s="111"/>
      <c r="C77" s="119"/>
      <c r="D77" s="134"/>
      <c r="E77" s="119"/>
      <c r="F77" s="119"/>
      <c r="G77" s="119"/>
      <c r="H77" s="131"/>
      <c r="I77" s="119"/>
      <c r="J77" s="119"/>
      <c r="K77" s="132"/>
      <c r="L77" s="133"/>
      <c r="M77" s="133"/>
      <c r="N77" s="100"/>
      <c r="O77" s="47"/>
    </row>
    <row r="78" spans="2:15" x14ac:dyDescent="0.25">
      <c r="B78" s="111"/>
      <c r="C78" s="119"/>
      <c r="D78" s="134"/>
      <c r="E78" s="119"/>
      <c r="F78" s="119"/>
      <c r="G78" s="119"/>
      <c r="H78" s="131"/>
      <c r="I78" s="119"/>
      <c r="J78" s="119"/>
      <c r="K78" s="132"/>
      <c r="L78" s="133"/>
      <c r="M78" s="133"/>
      <c r="N78" s="100"/>
      <c r="O78" s="47"/>
    </row>
    <row r="79" spans="2:15" x14ac:dyDescent="0.25">
      <c r="B79" s="111"/>
      <c r="C79" s="119"/>
      <c r="D79" s="134"/>
      <c r="E79" s="119"/>
      <c r="F79" s="119"/>
      <c r="G79" s="119"/>
      <c r="H79" s="131"/>
      <c r="I79" s="119"/>
      <c r="J79" s="119"/>
      <c r="K79" s="132"/>
      <c r="L79" s="133"/>
      <c r="M79" s="133"/>
      <c r="N79" s="100"/>
      <c r="O79" s="47"/>
    </row>
    <row r="80" spans="2:15" x14ac:dyDescent="0.25">
      <c r="B80" s="111"/>
      <c r="C80" s="119"/>
      <c r="D80" s="134"/>
      <c r="E80" s="119"/>
      <c r="F80" s="119"/>
      <c r="G80" s="119"/>
      <c r="H80" s="131"/>
      <c r="I80" s="119"/>
      <c r="J80" s="119"/>
      <c r="K80" s="132"/>
      <c r="L80" s="133"/>
      <c r="M80" s="133"/>
      <c r="N80" s="100"/>
      <c r="O80" s="47"/>
    </row>
    <row r="81" spans="2:15" x14ac:dyDescent="0.25">
      <c r="B81" s="111"/>
      <c r="C81" s="119"/>
      <c r="D81" s="134"/>
      <c r="E81" s="119"/>
      <c r="F81" s="119"/>
      <c r="G81" s="119"/>
      <c r="H81" s="131"/>
      <c r="I81" s="119"/>
      <c r="J81" s="119"/>
      <c r="K81" s="132"/>
      <c r="L81" s="133"/>
      <c r="M81" s="133"/>
      <c r="N81" s="100"/>
      <c r="O81" s="47"/>
    </row>
    <row r="82" spans="2:15" x14ac:dyDescent="0.25">
      <c r="B82" s="111"/>
      <c r="C82" s="119"/>
      <c r="D82" s="134"/>
      <c r="E82" s="119"/>
      <c r="F82" s="119"/>
      <c r="G82" s="119"/>
      <c r="H82" s="135"/>
      <c r="I82" s="119"/>
      <c r="J82" s="119"/>
      <c r="K82" s="132"/>
      <c r="L82" s="133"/>
      <c r="M82" s="133"/>
      <c r="N82" s="100"/>
      <c r="O82" s="47"/>
    </row>
    <row r="83" spans="2:15" x14ac:dyDescent="0.25">
      <c r="B83" s="111"/>
      <c r="C83" s="119"/>
      <c r="D83" s="134"/>
      <c r="E83" s="119"/>
      <c r="F83" s="119"/>
      <c r="G83" s="119"/>
      <c r="H83" s="131"/>
      <c r="I83" s="119"/>
      <c r="J83" s="119"/>
      <c r="K83" s="132"/>
      <c r="L83" s="133"/>
      <c r="M83" s="133"/>
      <c r="N83" s="100"/>
      <c r="O83" s="47"/>
    </row>
    <row r="84" spans="2:15" x14ac:dyDescent="0.25">
      <c r="B84" s="136"/>
      <c r="C84" s="137"/>
      <c r="D84" s="141"/>
      <c r="E84" s="137"/>
      <c r="F84" s="137"/>
      <c r="G84" s="137"/>
      <c r="H84" s="142"/>
      <c r="I84" s="137"/>
      <c r="J84" s="137"/>
      <c r="K84" s="143"/>
      <c r="L84" s="144"/>
      <c r="M84" s="144"/>
      <c r="N84" s="100"/>
      <c r="O84" s="47"/>
    </row>
    <row r="85" spans="2:15" x14ac:dyDescent="0.25">
      <c r="B85" s="87"/>
      <c r="C85" s="93"/>
      <c r="D85" s="102"/>
      <c r="E85" s="93"/>
      <c r="F85" s="93"/>
      <c r="G85" s="93"/>
      <c r="H85" s="96"/>
      <c r="I85" s="93"/>
      <c r="J85" s="93"/>
      <c r="K85" s="94"/>
      <c r="L85" s="95"/>
      <c r="M85" s="95"/>
      <c r="N85" s="100"/>
      <c r="O85" s="47"/>
    </row>
  </sheetData>
  <autoFilter ref="B2:O85" xr:uid="{00000000-0009-0000-0000-000002000000}">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1059180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144780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30480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274320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388620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1059180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12</xdr:col>
                <xdr:colOff>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0721" r:id="rId24" name="Dialog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3" customHeight="1" x14ac:dyDescent="0.25">
      <c r="A1" s="74"/>
      <c r="B1" s="75" t="s">
        <v>319</v>
      </c>
      <c r="C1" s="76">
        <f>SUM(C2:C72)</f>
        <v>0</v>
      </c>
      <c r="D1" s="77"/>
      <c r="E1" s="77" t="s">
        <v>314</v>
      </c>
      <c r="F1" s="77"/>
      <c r="G1" s="78" t="s">
        <v>321</v>
      </c>
      <c r="H1" s="77"/>
      <c r="I1" s="77"/>
      <c r="J1" s="78"/>
      <c r="K1" s="79">
        <v>1</v>
      </c>
      <c r="L1" s="77"/>
      <c r="M1" s="77"/>
      <c r="N1" s="77"/>
    </row>
    <row r="2" spans="1:14" ht="40.200000000000003" customHeight="1" x14ac:dyDescent="0.25">
      <c r="B2" s="28" t="s">
        <v>234</v>
      </c>
      <c r="C2" s="28" t="s">
        <v>270</v>
      </c>
      <c r="D2" s="28" t="s">
        <v>320</v>
      </c>
      <c r="E2" s="34" t="s">
        <v>71</v>
      </c>
      <c r="F2" s="28" t="s">
        <v>318</v>
      </c>
      <c r="G2" s="35" t="s">
        <v>1</v>
      </c>
      <c r="H2" s="28" t="s">
        <v>255</v>
      </c>
      <c r="I2" s="28" t="s">
        <v>254</v>
      </c>
      <c r="J2" s="37" t="s">
        <v>248</v>
      </c>
      <c r="K2" s="28" t="s">
        <v>125</v>
      </c>
      <c r="L2" s="36" t="s">
        <v>4</v>
      </c>
      <c r="M2" s="36" t="s">
        <v>238</v>
      </c>
      <c r="N2" s="40" t="s">
        <v>258</v>
      </c>
    </row>
    <row r="3" spans="1:14" x14ac:dyDescent="0.25">
      <c r="B3" s="27" t="s">
        <v>234</v>
      </c>
      <c r="C3" s="11" t="s">
        <v>373</v>
      </c>
      <c r="D3" s="56"/>
      <c r="E3" s="7"/>
      <c r="F3" s="7"/>
      <c r="G3" s="9" t="s">
        <v>317</v>
      </c>
      <c r="H3" s="11"/>
      <c r="I3" s="11"/>
      <c r="J3" s="48" t="s">
        <v>247</v>
      </c>
      <c r="K3" s="46">
        <v>0</v>
      </c>
      <c r="L3" s="51">
        <v>1</v>
      </c>
      <c r="M3" s="51">
        <v>0</v>
      </c>
      <c r="N3" s="47">
        <v>0</v>
      </c>
    </row>
    <row r="4" spans="1:14" hidden="1" x14ac:dyDescent="0.25">
      <c r="B4" s="27"/>
      <c r="C4" s="11" t="s">
        <v>374</v>
      </c>
      <c r="D4" s="55"/>
      <c r="E4" s="11"/>
      <c r="F4" s="11"/>
      <c r="G4" s="9"/>
      <c r="H4" s="11"/>
      <c r="I4" s="11"/>
      <c r="J4" s="48"/>
      <c r="K4" s="46"/>
      <c r="L4" s="51"/>
      <c r="M4" s="51"/>
      <c r="N4" s="47"/>
    </row>
    <row r="5" spans="1:14" ht="26.4" hidden="1" x14ac:dyDescent="0.25">
      <c r="B5" s="27" t="s">
        <v>234</v>
      </c>
      <c r="C5" s="11" t="s">
        <v>374</v>
      </c>
      <c r="D5" s="55"/>
      <c r="E5" s="11"/>
      <c r="F5" s="11"/>
      <c r="G5" s="61" t="s">
        <v>376</v>
      </c>
      <c r="H5" s="11"/>
      <c r="I5" s="11"/>
      <c r="J5" s="48" t="s">
        <v>375</v>
      </c>
      <c r="K5" s="46"/>
      <c r="L5" s="52">
        <v>7</v>
      </c>
      <c r="M5" s="51">
        <v>1</v>
      </c>
      <c r="N5" s="47">
        <v>0</v>
      </c>
    </row>
    <row r="6" spans="1:14" hidden="1" x14ac:dyDescent="0.25">
      <c r="B6" s="27"/>
      <c r="C6" s="11" t="s">
        <v>377</v>
      </c>
      <c r="D6" s="56"/>
      <c r="E6" s="7"/>
      <c r="F6" s="7"/>
      <c r="G6" s="9"/>
      <c r="H6" s="11"/>
      <c r="I6" s="11"/>
      <c r="J6" s="48"/>
      <c r="K6" s="46"/>
      <c r="L6" s="51"/>
      <c r="M6" s="51"/>
      <c r="N6" s="47"/>
    </row>
    <row r="7" spans="1:14" ht="66" hidden="1" x14ac:dyDescent="0.25">
      <c r="B7" s="27" t="s">
        <v>234</v>
      </c>
      <c r="C7" s="11" t="s">
        <v>377</v>
      </c>
      <c r="D7" s="55"/>
      <c r="E7" s="11"/>
      <c r="F7" s="11"/>
      <c r="G7" s="61" t="s">
        <v>380</v>
      </c>
      <c r="H7" s="11"/>
      <c r="I7" s="11"/>
      <c r="J7" s="48" t="s">
        <v>378</v>
      </c>
      <c r="K7" s="46"/>
      <c r="L7" s="51">
        <v>6</v>
      </c>
      <c r="M7" s="52">
        <v>1</v>
      </c>
      <c r="N7" s="47">
        <v>0</v>
      </c>
    </row>
    <row r="8" spans="1:14" ht="79.2" hidden="1" x14ac:dyDescent="0.25">
      <c r="B8" s="27"/>
      <c r="C8" s="11" t="s">
        <v>377</v>
      </c>
      <c r="D8" s="56"/>
      <c r="E8" s="7"/>
      <c r="F8" s="7"/>
      <c r="G8" s="62" t="s">
        <v>381</v>
      </c>
      <c r="H8" s="11"/>
      <c r="I8" s="11"/>
      <c r="J8" s="48" t="s">
        <v>379</v>
      </c>
      <c r="K8" s="46"/>
      <c r="L8" s="51">
        <v>2</v>
      </c>
      <c r="M8" s="51">
        <v>1</v>
      </c>
      <c r="N8" s="47">
        <v>0</v>
      </c>
    </row>
    <row r="9" spans="1:14" hidden="1" x14ac:dyDescent="0.25">
      <c r="B9" s="27"/>
      <c r="C9" s="11" t="s">
        <v>382</v>
      </c>
      <c r="D9" s="56"/>
      <c r="E9" s="7"/>
      <c r="F9" s="7"/>
      <c r="G9" s="9"/>
      <c r="H9" s="11"/>
      <c r="I9" s="11"/>
      <c r="J9" s="48"/>
      <c r="K9" s="46"/>
      <c r="L9" s="51"/>
      <c r="M9" s="51"/>
      <c r="N9" s="47"/>
    </row>
    <row r="10" spans="1:14" ht="39.6" hidden="1" x14ac:dyDescent="0.25">
      <c r="B10" s="27" t="s">
        <v>234</v>
      </c>
      <c r="C10" s="11" t="s">
        <v>382</v>
      </c>
      <c r="D10" s="56"/>
      <c r="E10" s="11"/>
      <c r="F10" s="11"/>
      <c r="G10" s="61" t="s">
        <v>383</v>
      </c>
      <c r="H10" s="11"/>
      <c r="I10" s="11"/>
      <c r="J10" s="48" t="s">
        <v>316</v>
      </c>
      <c r="K10" s="46"/>
      <c r="L10" s="51">
        <v>2</v>
      </c>
      <c r="M10" s="51">
        <v>1</v>
      </c>
      <c r="N10" s="47">
        <v>0</v>
      </c>
    </row>
    <row r="11" spans="1:14" ht="39.6" hidden="1" x14ac:dyDescent="0.25">
      <c r="B11" s="27"/>
      <c r="C11" s="11" t="s">
        <v>382</v>
      </c>
      <c r="D11" s="56"/>
      <c r="E11" s="7"/>
      <c r="F11" s="7"/>
      <c r="G11" s="62" t="s">
        <v>385</v>
      </c>
      <c r="H11" s="12"/>
      <c r="I11" s="12"/>
      <c r="J11" s="48" t="s">
        <v>384</v>
      </c>
      <c r="K11" s="49"/>
      <c r="L11" s="51" t="s">
        <v>284</v>
      </c>
      <c r="M11" s="51">
        <v>1</v>
      </c>
      <c r="N11" s="47">
        <v>0</v>
      </c>
    </row>
    <row r="12" spans="1:14" hidden="1" x14ac:dyDescent="0.25">
      <c r="B12" s="27"/>
      <c r="C12" s="11" t="s">
        <v>386</v>
      </c>
      <c r="D12" s="56"/>
      <c r="E12" s="11"/>
      <c r="F12" s="11"/>
      <c r="G12" s="61"/>
      <c r="H12" s="11"/>
      <c r="I12" s="11"/>
      <c r="J12" s="48"/>
      <c r="K12" s="46"/>
      <c r="L12" s="51"/>
      <c r="M12" s="51"/>
      <c r="N12" s="47"/>
    </row>
    <row r="13" spans="1:14" ht="26.4" hidden="1" x14ac:dyDescent="0.25">
      <c r="B13" s="27" t="s">
        <v>234</v>
      </c>
      <c r="C13" s="11" t="s">
        <v>386</v>
      </c>
      <c r="D13" s="56"/>
      <c r="E13" s="7"/>
      <c r="F13" s="7"/>
      <c r="G13" s="61" t="s">
        <v>388</v>
      </c>
      <c r="H13" s="11"/>
      <c r="I13" s="11"/>
      <c r="J13" s="48" t="s">
        <v>387</v>
      </c>
      <c r="K13" s="46"/>
      <c r="L13" s="51">
        <v>6</v>
      </c>
      <c r="M13" s="51">
        <v>1</v>
      </c>
      <c r="N13" s="47">
        <v>0</v>
      </c>
    </row>
    <row r="14" spans="1:14" ht="39.6" hidden="1" x14ac:dyDescent="0.25">
      <c r="B14" s="27"/>
      <c r="C14" s="11" t="s">
        <v>386</v>
      </c>
      <c r="D14" s="56"/>
      <c r="E14" s="7"/>
      <c r="F14" s="7"/>
      <c r="G14" s="62" t="s">
        <v>389</v>
      </c>
      <c r="H14" s="11"/>
      <c r="I14" s="11"/>
      <c r="J14" s="48" t="s">
        <v>390</v>
      </c>
      <c r="K14" s="46"/>
      <c r="L14" s="52" t="s">
        <v>283</v>
      </c>
      <c r="M14" s="51">
        <v>1</v>
      </c>
      <c r="N14" s="47">
        <v>0</v>
      </c>
    </row>
    <row r="15" spans="1:14" hidden="1" x14ac:dyDescent="0.25">
      <c r="B15" s="27"/>
      <c r="C15" s="11" t="s">
        <v>391</v>
      </c>
      <c r="D15" s="56"/>
      <c r="E15" s="7"/>
      <c r="F15" s="7"/>
      <c r="G15" s="61"/>
      <c r="H15" s="11"/>
      <c r="I15" s="11"/>
      <c r="J15" s="48"/>
      <c r="K15" s="46"/>
      <c r="L15" s="52"/>
      <c r="M15" s="51"/>
      <c r="N15" s="47"/>
    </row>
    <row r="16" spans="1:14" ht="39.6" hidden="1" x14ac:dyDescent="0.25">
      <c r="B16" s="27" t="s">
        <v>234</v>
      </c>
      <c r="C16" s="11" t="s">
        <v>391</v>
      </c>
      <c r="D16" s="56"/>
      <c r="E16" s="7"/>
      <c r="F16" s="7"/>
      <c r="G16" s="61" t="s">
        <v>394</v>
      </c>
      <c r="H16" s="11"/>
      <c r="I16" s="11"/>
      <c r="J16" s="48" t="s">
        <v>256</v>
      </c>
      <c r="K16" s="46"/>
      <c r="L16" s="51">
        <v>6</v>
      </c>
      <c r="M16" s="51">
        <v>1</v>
      </c>
      <c r="N16" s="47">
        <v>0</v>
      </c>
    </row>
    <row r="17" spans="2:14" ht="39.6" hidden="1" x14ac:dyDescent="0.25">
      <c r="B17" s="27"/>
      <c r="C17" s="11" t="s">
        <v>391</v>
      </c>
      <c r="D17" s="56"/>
      <c r="E17" s="7"/>
      <c r="F17" s="7"/>
      <c r="G17" s="62" t="s">
        <v>480</v>
      </c>
      <c r="H17" s="11"/>
      <c r="I17" s="11"/>
      <c r="J17" s="48" t="s">
        <v>392</v>
      </c>
      <c r="K17" s="46"/>
      <c r="L17" s="52" t="s">
        <v>283</v>
      </c>
      <c r="M17" s="51">
        <v>1</v>
      </c>
      <c r="N17" s="47">
        <v>0</v>
      </c>
    </row>
    <row r="18" spans="2:14" hidden="1" x14ac:dyDescent="0.25">
      <c r="B18" s="27" t="s">
        <v>234</v>
      </c>
      <c r="C18" s="11" t="s">
        <v>393</v>
      </c>
      <c r="D18" s="56"/>
      <c r="E18" s="7"/>
      <c r="F18" s="7"/>
      <c r="G18" s="61"/>
      <c r="H18" s="11"/>
      <c r="I18" s="11"/>
      <c r="J18" s="48"/>
      <c r="K18" s="46"/>
      <c r="L18" s="51"/>
      <c r="M18" s="51"/>
      <c r="N18" s="47"/>
    </row>
    <row r="19" spans="2:14" ht="26.4" hidden="1" x14ac:dyDescent="0.25">
      <c r="B19" s="27" t="s">
        <v>234</v>
      </c>
      <c r="C19" s="11" t="s">
        <v>393</v>
      </c>
      <c r="D19" s="55" t="s">
        <v>308</v>
      </c>
      <c r="E19" s="7" t="s">
        <v>237</v>
      </c>
      <c r="F19" s="7">
        <v>0</v>
      </c>
      <c r="G19" s="61" t="s">
        <v>395</v>
      </c>
      <c r="H19" s="11"/>
      <c r="I19" s="11"/>
      <c r="J19" s="48" t="s">
        <v>464</v>
      </c>
      <c r="K19" s="46"/>
      <c r="L19" s="52">
        <v>3</v>
      </c>
      <c r="M19" s="51">
        <v>3</v>
      </c>
      <c r="N19" s="47">
        <v>0</v>
      </c>
    </row>
    <row r="20" spans="2:14" ht="39.6" hidden="1" x14ac:dyDescent="0.25">
      <c r="B20" s="27"/>
      <c r="C20" s="11" t="s">
        <v>393</v>
      </c>
      <c r="D20" s="55" t="s">
        <v>315</v>
      </c>
      <c r="E20" s="7" t="s">
        <v>237</v>
      </c>
      <c r="F20" s="7">
        <v>0</v>
      </c>
      <c r="G20" s="62" t="s">
        <v>396</v>
      </c>
      <c r="H20" s="11"/>
      <c r="I20" s="11"/>
      <c r="J20" s="48" t="s">
        <v>465</v>
      </c>
      <c r="K20" s="46"/>
      <c r="L20" s="51" t="s">
        <v>368</v>
      </c>
      <c r="M20" s="51">
        <v>3</v>
      </c>
      <c r="N20" s="47">
        <v>0</v>
      </c>
    </row>
    <row r="21" spans="2:14" ht="39.6" hidden="1" x14ac:dyDescent="0.25">
      <c r="B21" s="27" t="s">
        <v>234</v>
      </c>
      <c r="C21" s="11" t="s">
        <v>393</v>
      </c>
      <c r="D21" s="55" t="s">
        <v>399</v>
      </c>
      <c r="E21" s="7" t="s">
        <v>237</v>
      </c>
      <c r="F21" s="7">
        <v>0</v>
      </c>
      <c r="G21" s="61" t="s">
        <v>398</v>
      </c>
      <c r="H21" s="11"/>
      <c r="I21" s="11"/>
      <c r="J21" s="48" t="s">
        <v>466</v>
      </c>
      <c r="K21" s="46"/>
      <c r="L21" s="52">
        <v>6</v>
      </c>
      <c r="M21" s="51">
        <v>4</v>
      </c>
      <c r="N21" s="47">
        <v>0</v>
      </c>
    </row>
    <row r="22" spans="2:14" ht="39.6" hidden="1" x14ac:dyDescent="0.25">
      <c r="B22" s="27"/>
      <c r="C22" s="11" t="s">
        <v>393</v>
      </c>
      <c r="D22" s="55" t="s">
        <v>399</v>
      </c>
      <c r="E22" s="7" t="s">
        <v>237</v>
      </c>
      <c r="F22" s="7">
        <v>0</v>
      </c>
      <c r="G22" s="62" t="s">
        <v>397</v>
      </c>
      <c r="H22" s="11"/>
      <c r="I22" s="11"/>
      <c r="J22" s="48" t="s">
        <v>467</v>
      </c>
      <c r="K22" s="46"/>
      <c r="L22" s="51" t="s">
        <v>283</v>
      </c>
      <c r="M22" s="51">
        <v>4</v>
      </c>
      <c r="N22" s="47">
        <v>0</v>
      </c>
    </row>
    <row r="23" spans="2:14" hidden="1" x14ac:dyDescent="0.25">
      <c r="B23" s="27"/>
      <c r="C23" s="11" t="s">
        <v>400</v>
      </c>
      <c r="D23" s="56"/>
      <c r="E23" s="7"/>
      <c r="F23" s="7"/>
      <c r="G23" s="9"/>
      <c r="H23" s="11"/>
      <c r="I23" s="11"/>
      <c r="J23" s="48"/>
      <c r="K23" s="46"/>
      <c r="L23" s="52"/>
      <c r="M23" s="51"/>
      <c r="N23" s="47"/>
    </row>
    <row r="24" spans="2:14" ht="26.4" hidden="1" x14ac:dyDescent="0.25">
      <c r="B24" s="27" t="s">
        <v>234</v>
      </c>
      <c r="C24" s="11" t="s">
        <v>400</v>
      </c>
      <c r="D24" s="55"/>
      <c r="E24" s="7"/>
      <c r="F24" s="7"/>
      <c r="G24" s="61" t="s">
        <v>401</v>
      </c>
      <c r="H24" s="11"/>
      <c r="I24" s="11"/>
      <c r="J24" s="48"/>
      <c r="K24" s="46"/>
      <c r="L24" s="52"/>
      <c r="M24" s="51"/>
      <c r="N24" s="47"/>
    </row>
    <row r="25" spans="2:14" ht="26.4" hidden="1" x14ac:dyDescent="0.25">
      <c r="B25" s="27" t="s">
        <v>234</v>
      </c>
      <c r="C25" s="11" t="s">
        <v>400</v>
      </c>
      <c r="D25" s="55" t="s">
        <v>324</v>
      </c>
      <c r="E25" s="11" t="s">
        <v>235</v>
      </c>
      <c r="F25" s="7"/>
      <c r="G25" s="54" t="s">
        <v>376</v>
      </c>
      <c r="H25" s="11"/>
      <c r="I25" s="11"/>
      <c r="J25" s="48" t="s">
        <v>375</v>
      </c>
      <c r="K25" s="46"/>
      <c r="L25" s="52">
        <v>7</v>
      </c>
      <c r="M25" s="51">
        <v>1</v>
      </c>
      <c r="N25" s="47">
        <v>0</v>
      </c>
    </row>
    <row r="26" spans="2:14" ht="52.8" hidden="1" x14ac:dyDescent="0.25">
      <c r="B26" s="27" t="s">
        <v>234</v>
      </c>
      <c r="C26" s="11" t="s">
        <v>400</v>
      </c>
      <c r="D26" s="55" t="s">
        <v>309</v>
      </c>
      <c r="E26" s="11" t="s">
        <v>235</v>
      </c>
      <c r="F26" s="7"/>
      <c r="G26" s="54" t="s">
        <v>481</v>
      </c>
      <c r="H26" s="11"/>
      <c r="I26" s="11"/>
      <c r="J26" s="48" t="s">
        <v>402</v>
      </c>
      <c r="K26" s="46"/>
      <c r="L26" s="52">
        <v>4</v>
      </c>
      <c r="M26" s="51">
        <v>1</v>
      </c>
      <c r="N26" s="47">
        <v>0</v>
      </c>
    </row>
    <row r="27" spans="2:14" ht="66" hidden="1" x14ac:dyDescent="0.25">
      <c r="B27" s="27" t="s">
        <v>234</v>
      </c>
      <c r="C27" s="11" t="s">
        <v>400</v>
      </c>
      <c r="D27" s="55" t="s">
        <v>326</v>
      </c>
      <c r="E27" s="7" t="s">
        <v>235</v>
      </c>
      <c r="F27" s="7"/>
      <c r="G27" s="63" t="s">
        <v>403</v>
      </c>
      <c r="H27" s="33"/>
      <c r="I27" s="33"/>
      <c r="J27" s="50" t="s">
        <v>404</v>
      </c>
      <c r="K27" s="47"/>
      <c r="L27" s="51">
        <v>5</v>
      </c>
      <c r="M27" s="51">
        <v>1</v>
      </c>
      <c r="N27" s="47">
        <v>0</v>
      </c>
    </row>
    <row r="28" spans="2:14" ht="39.6" hidden="1" x14ac:dyDescent="0.25">
      <c r="B28" s="27" t="s">
        <v>234</v>
      </c>
      <c r="C28" s="11" t="s">
        <v>400</v>
      </c>
      <c r="D28" s="56"/>
      <c r="E28" s="7"/>
      <c r="F28" s="7"/>
      <c r="G28" s="54" t="s">
        <v>407</v>
      </c>
      <c r="H28" s="7"/>
      <c r="I28" s="7"/>
      <c r="J28" s="50" t="s">
        <v>406</v>
      </c>
      <c r="K28" s="47"/>
      <c r="L28" s="51">
        <v>-4</v>
      </c>
      <c r="M28" s="51">
        <v>0</v>
      </c>
      <c r="N28" s="47">
        <v>0</v>
      </c>
    </row>
    <row r="29" spans="2:14" ht="39.6" hidden="1" x14ac:dyDescent="0.25">
      <c r="B29" s="27" t="s">
        <v>234</v>
      </c>
      <c r="C29" s="11" t="s">
        <v>400</v>
      </c>
      <c r="D29" s="55" t="s">
        <v>327</v>
      </c>
      <c r="E29" s="11" t="s">
        <v>235</v>
      </c>
      <c r="F29" s="11"/>
      <c r="G29" s="54" t="s">
        <v>410</v>
      </c>
      <c r="H29" s="11"/>
      <c r="I29" s="11"/>
      <c r="J29" s="48" t="s">
        <v>405</v>
      </c>
      <c r="K29" s="46"/>
      <c r="L29" s="51">
        <v>1</v>
      </c>
      <c r="M29" s="51">
        <v>1</v>
      </c>
      <c r="N29" s="47">
        <v>0</v>
      </c>
    </row>
    <row r="30" spans="2:14" hidden="1" x14ac:dyDescent="0.25">
      <c r="B30" s="27" t="s">
        <v>234</v>
      </c>
      <c r="C30" s="11" t="s">
        <v>400</v>
      </c>
      <c r="D30" s="56"/>
      <c r="E30" s="11"/>
      <c r="F30" s="11"/>
      <c r="G30" s="9" t="s">
        <v>409</v>
      </c>
      <c r="H30" s="11"/>
      <c r="I30" s="11"/>
      <c r="J30" s="48" t="s">
        <v>408</v>
      </c>
      <c r="K30" s="46"/>
      <c r="L30" s="51">
        <v>3</v>
      </c>
      <c r="M30" s="51">
        <v>0</v>
      </c>
      <c r="N30" s="47">
        <v>0</v>
      </c>
    </row>
    <row r="31" spans="2:14" hidden="1" x14ac:dyDescent="0.25">
      <c r="B31" s="27"/>
      <c r="C31" s="11" t="s">
        <v>411</v>
      </c>
      <c r="D31" s="56"/>
      <c r="E31" s="7"/>
      <c r="F31" s="7"/>
      <c r="G31" s="8"/>
      <c r="H31" s="7"/>
      <c r="I31" s="7"/>
      <c r="J31" s="50"/>
      <c r="K31" s="47"/>
      <c r="L31" s="51"/>
      <c r="M31" s="51"/>
      <c r="N31" s="47"/>
    </row>
    <row r="32" spans="2:14" ht="26.4" hidden="1" x14ac:dyDescent="0.25">
      <c r="B32" s="27"/>
      <c r="C32" s="11" t="s">
        <v>411</v>
      </c>
      <c r="D32" s="56"/>
      <c r="E32" s="11"/>
      <c r="F32" s="11"/>
      <c r="G32" s="61" t="s">
        <v>482</v>
      </c>
      <c r="H32" s="11"/>
      <c r="I32" s="11"/>
      <c r="J32" s="48"/>
      <c r="K32" s="46"/>
      <c r="L32" s="51"/>
      <c r="M32" s="51"/>
      <c r="N32" s="47"/>
    </row>
    <row r="33" spans="2:14" hidden="1" x14ac:dyDescent="0.25">
      <c r="B33" s="27" t="s">
        <v>234</v>
      </c>
      <c r="C33" s="11" t="s">
        <v>411</v>
      </c>
      <c r="D33" s="55" t="s">
        <v>426</v>
      </c>
      <c r="E33" s="7" t="s">
        <v>237</v>
      </c>
      <c r="F33" s="7"/>
      <c r="G33" s="54" t="s">
        <v>412</v>
      </c>
      <c r="H33" s="7"/>
      <c r="I33" s="7"/>
      <c r="J33" s="50" t="s">
        <v>328</v>
      </c>
      <c r="K33" s="47"/>
      <c r="L33" s="51" t="s">
        <v>284</v>
      </c>
      <c r="M33" s="51">
        <v>1</v>
      </c>
      <c r="N33" s="47">
        <v>0</v>
      </c>
    </row>
    <row r="34" spans="2:14" hidden="1" x14ac:dyDescent="0.25">
      <c r="B34" s="27" t="s">
        <v>234</v>
      </c>
      <c r="C34" s="11" t="s">
        <v>411</v>
      </c>
      <c r="D34" s="55" t="s">
        <v>426</v>
      </c>
      <c r="E34" s="7" t="s">
        <v>246</v>
      </c>
      <c r="F34" s="7"/>
      <c r="G34" s="54" t="s">
        <v>413</v>
      </c>
      <c r="H34" s="7"/>
      <c r="I34" s="7"/>
      <c r="J34" s="50" t="s">
        <v>330</v>
      </c>
      <c r="K34" s="47"/>
      <c r="L34" s="51" t="s">
        <v>329</v>
      </c>
      <c r="M34" s="51">
        <v>1</v>
      </c>
      <c r="N34" s="47">
        <v>0</v>
      </c>
    </row>
    <row r="35" spans="2:14" hidden="1" x14ac:dyDescent="0.25">
      <c r="B35" s="27" t="s">
        <v>234</v>
      </c>
      <c r="C35" s="11" t="s">
        <v>411</v>
      </c>
      <c r="D35" s="55" t="s">
        <v>427</v>
      </c>
      <c r="E35" s="7" t="s">
        <v>237</v>
      </c>
      <c r="F35" s="7"/>
      <c r="G35" s="54" t="s">
        <v>414</v>
      </c>
      <c r="H35" s="7"/>
      <c r="I35" s="7"/>
      <c r="J35" s="50" t="s">
        <v>331</v>
      </c>
      <c r="K35" s="47"/>
      <c r="L35" s="51" t="s">
        <v>329</v>
      </c>
      <c r="M35" s="51">
        <v>1</v>
      </c>
      <c r="N35" s="47">
        <v>0</v>
      </c>
    </row>
    <row r="36" spans="2:14" hidden="1" x14ac:dyDescent="0.25">
      <c r="B36" s="27" t="s">
        <v>234</v>
      </c>
      <c r="C36" s="11" t="s">
        <v>411</v>
      </c>
      <c r="D36" s="55" t="s">
        <v>427</v>
      </c>
      <c r="E36" s="7" t="s">
        <v>246</v>
      </c>
      <c r="F36" s="7"/>
      <c r="G36" s="54" t="s">
        <v>415</v>
      </c>
      <c r="H36" s="7"/>
      <c r="I36" s="7"/>
      <c r="J36" s="50" t="s">
        <v>332</v>
      </c>
      <c r="K36" s="47"/>
      <c r="L36" s="51" t="s">
        <v>329</v>
      </c>
      <c r="M36" s="51">
        <v>1</v>
      </c>
      <c r="N36" s="47">
        <v>0</v>
      </c>
    </row>
    <row r="37" spans="2:14" hidden="1" x14ac:dyDescent="0.25">
      <c r="B37" s="27" t="s">
        <v>234</v>
      </c>
      <c r="C37" s="11" t="s">
        <v>411</v>
      </c>
      <c r="D37" s="55" t="s">
        <v>428</v>
      </c>
      <c r="E37" s="7" t="s">
        <v>237</v>
      </c>
      <c r="F37" s="7"/>
      <c r="G37" s="54" t="s">
        <v>416</v>
      </c>
      <c r="H37" s="7"/>
      <c r="I37" s="7"/>
      <c r="J37" s="50" t="s">
        <v>333</v>
      </c>
      <c r="K37" s="47"/>
      <c r="L37" s="51" t="s">
        <v>329</v>
      </c>
      <c r="M37" s="51">
        <v>1</v>
      </c>
      <c r="N37" s="47">
        <v>0</v>
      </c>
    </row>
    <row r="38" spans="2:14" hidden="1" x14ac:dyDescent="0.25">
      <c r="B38" s="27" t="s">
        <v>234</v>
      </c>
      <c r="C38" s="11" t="s">
        <v>411</v>
      </c>
      <c r="D38" s="55" t="s">
        <v>428</v>
      </c>
      <c r="E38" s="7" t="s">
        <v>246</v>
      </c>
      <c r="F38" s="7"/>
      <c r="G38" s="54" t="s">
        <v>417</v>
      </c>
      <c r="H38" s="7"/>
      <c r="I38" s="7"/>
      <c r="J38" s="50" t="s">
        <v>334</v>
      </c>
      <c r="K38" s="47"/>
      <c r="L38" s="47" t="s">
        <v>329</v>
      </c>
      <c r="M38" s="47">
        <v>1</v>
      </c>
      <c r="N38" s="47">
        <v>0</v>
      </c>
    </row>
    <row r="39" spans="2:14" hidden="1" x14ac:dyDescent="0.25">
      <c r="B39" s="27" t="s">
        <v>234</v>
      </c>
      <c r="C39" s="11" t="s">
        <v>411</v>
      </c>
      <c r="D39" s="55" t="s">
        <v>429</v>
      </c>
      <c r="E39" s="7" t="s">
        <v>237</v>
      </c>
      <c r="F39" s="7"/>
      <c r="G39" s="54" t="s">
        <v>418</v>
      </c>
      <c r="H39" s="7"/>
      <c r="I39" s="7"/>
      <c r="J39" s="50" t="s">
        <v>335</v>
      </c>
      <c r="K39" s="47"/>
      <c r="L39" s="51" t="s">
        <v>329</v>
      </c>
      <c r="M39" s="51">
        <v>1</v>
      </c>
      <c r="N39" s="47">
        <v>0</v>
      </c>
    </row>
    <row r="40" spans="2:14" hidden="1" x14ac:dyDescent="0.25">
      <c r="B40" s="27" t="s">
        <v>234</v>
      </c>
      <c r="C40" s="11" t="s">
        <v>411</v>
      </c>
      <c r="D40" s="55" t="s">
        <v>429</v>
      </c>
      <c r="E40" s="7" t="s">
        <v>246</v>
      </c>
      <c r="F40" s="11"/>
      <c r="G40" s="54" t="s">
        <v>419</v>
      </c>
      <c r="H40" s="7"/>
      <c r="I40" s="7"/>
      <c r="J40" s="50" t="s">
        <v>336</v>
      </c>
      <c r="K40" s="47"/>
      <c r="L40" s="47" t="s">
        <v>329</v>
      </c>
      <c r="M40" s="47">
        <v>1</v>
      </c>
      <c r="N40" s="47">
        <v>0</v>
      </c>
    </row>
    <row r="41" spans="2:14" hidden="1" x14ac:dyDescent="0.25">
      <c r="B41" s="27" t="s">
        <v>234</v>
      </c>
      <c r="C41" s="11" t="s">
        <v>411</v>
      </c>
      <c r="D41" s="55" t="s">
        <v>301</v>
      </c>
      <c r="E41" s="7" t="s">
        <v>237</v>
      </c>
      <c r="F41" s="7"/>
      <c r="G41" s="54" t="s">
        <v>420</v>
      </c>
      <c r="H41" s="7"/>
      <c r="I41" s="7"/>
      <c r="J41" s="50" t="s">
        <v>337</v>
      </c>
      <c r="K41" s="47"/>
      <c r="L41" s="47" t="s">
        <v>329</v>
      </c>
      <c r="M41" s="47">
        <v>1</v>
      </c>
      <c r="N41" s="47">
        <v>0</v>
      </c>
    </row>
    <row r="42" spans="2:14" hidden="1" x14ac:dyDescent="0.25">
      <c r="B42" s="27" t="s">
        <v>234</v>
      </c>
      <c r="C42" s="11" t="s">
        <v>411</v>
      </c>
      <c r="D42" s="55" t="s">
        <v>301</v>
      </c>
      <c r="E42" s="7" t="s">
        <v>246</v>
      </c>
      <c r="F42" s="11"/>
      <c r="G42" s="54" t="s">
        <v>421</v>
      </c>
      <c r="H42" s="7"/>
      <c r="I42" s="7"/>
      <c r="J42" s="50" t="s">
        <v>338</v>
      </c>
      <c r="K42" s="47"/>
      <c r="L42" s="47" t="s">
        <v>329</v>
      </c>
      <c r="M42" s="47">
        <v>1</v>
      </c>
      <c r="N42" s="47">
        <v>0</v>
      </c>
    </row>
    <row r="43" spans="2:14" hidden="1" x14ac:dyDescent="0.25">
      <c r="B43" s="27" t="s">
        <v>234</v>
      </c>
      <c r="C43" s="11" t="s">
        <v>411</v>
      </c>
      <c r="D43" s="55" t="s">
        <v>430</v>
      </c>
      <c r="E43" s="7" t="s">
        <v>237</v>
      </c>
      <c r="F43" s="7"/>
      <c r="G43" s="54" t="s">
        <v>422</v>
      </c>
      <c r="H43" s="7"/>
      <c r="I43" s="7"/>
      <c r="J43" s="50" t="s">
        <v>339</v>
      </c>
      <c r="K43" s="47"/>
      <c r="L43" s="47" t="s">
        <v>329</v>
      </c>
      <c r="M43" s="47">
        <v>1</v>
      </c>
      <c r="N43" s="47">
        <v>0</v>
      </c>
    </row>
    <row r="44" spans="2:14" hidden="1" x14ac:dyDescent="0.25">
      <c r="B44" s="27" t="s">
        <v>234</v>
      </c>
      <c r="C44" s="11" t="s">
        <v>411</v>
      </c>
      <c r="D44" s="55" t="s">
        <v>430</v>
      </c>
      <c r="E44" s="7" t="s">
        <v>246</v>
      </c>
      <c r="F44" s="7"/>
      <c r="G44" s="54" t="s">
        <v>423</v>
      </c>
      <c r="H44" s="7"/>
      <c r="I44" s="7"/>
      <c r="J44" s="50" t="s">
        <v>340</v>
      </c>
      <c r="K44" s="53"/>
      <c r="L44" s="47" t="s">
        <v>329</v>
      </c>
      <c r="M44" s="47">
        <v>1</v>
      </c>
      <c r="N44" s="47">
        <v>0</v>
      </c>
    </row>
    <row r="45" spans="2:14" hidden="1" x14ac:dyDescent="0.25">
      <c r="B45" s="27" t="s">
        <v>234</v>
      </c>
      <c r="C45" s="11" t="s">
        <v>411</v>
      </c>
      <c r="D45" s="55" t="s">
        <v>431</v>
      </c>
      <c r="E45" s="7" t="s">
        <v>237</v>
      </c>
      <c r="F45" s="7"/>
      <c r="G45" s="54" t="s">
        <v>424</v>
      </c>
      <c r="H45" s="7"/>
      <c r="I45" s="7"/>
      <c r="J45" s="50" t="s">
        <v>341</v>
      </c>
      <c r="K45" s="47"/>
      <c r="L45" s="47" t="s">
        <v>329</v>
      </c>
      <c r="M45" s="47">
        <v>1</v>
      </c>
      <c r="N45" s="47">
        <v>0</v>
      </c>
    </row>
    <row r="46" spans="2:14" hidden="1" x14ac:dyDescent="0.25">
      <c r="B46" s="27" t="s">
        <v>234</v>
      </c>
      <c r="C46" s="11" t="s">
        <v>411</v>
      </c>
      <c r="D46" s="55" t="s">
        <v>431</v>
      </c>
      <c r="E46" s="7" t="s">
        <v>246</v>
      </c>
      <c r="F46" s="7"/>
      <c r="G46" s="54" t="s">
        <v>425</v>
      </c>
      <c r="H46" s="7"/>
      <c r="I46" s="7"/>
      <c r="J46" s="50" t="s">
        <v>342</v>
      </c>
      <c r="K46" s="47"/>
      <c r="L46" s="47" t="s">
        <v>329</v>
      </c>
      <c r="M46" s="47">
        <v>1</v>
      </c>
      <c r="N46" s="47">
        <v>0</v>
      </c>
    </row>
    <row r="47" spans="2:14" hidden="1" x14ac:dyDescent="0.25">
      <c r="B47" s="27" t="s">
        <v>234</v>
      </c>
      <c r="C47" s="11" t="s">
        <v>411</v>
      </c>
      <c r="D47" s="55" t="s">
        <v>432</v>
      </c>
      <c r="E47" s="7" t="s">
        <v>237</v>
      </c>
      <c r="F47" s="7"/>
      <c r="G47" s="54" t="s">
        <v>446</v>
      </c>
      <c r="H47" s="7"/>
      <c r="I47" s="7"/>
      <c r="J47" s="50" t="s">
        <v>434</v>
      </c>
      <c r="K47" s="47"/>
      <c r="L47" s="47" t="s">
        <v>329</v>
      </c>
      <c r="M47" s="47">
        <v>1</v>
      </c>
      <c r="N47" s="47">
        <v>0</v>
      </c>
    </row>
    <row r="48" spans="2:14" hidden="1" x14ac:dyDescent="0.25">
      <c r="B48" s="27" t="s">
        <v>234</v>
      </c>
      <c r="C48" s="11" t="s">
        <v>411</v>
      </c>
      <c r="D48" s="55" t="s">
        <v>432</v>
      </c>
      <c r="E48" s="7" t="s">
        <v>246</v>
      </c>
      <c r="F48" s="7"/>
      <c r="G48" s="54" t="s">
        <v>447</v>
      </c>
      <c r="H48" s="7"/>
      <c r="I48" s="7"/>
      <c r="J48" s="50" t="s">
        <v>435</v>
      </c>
      <c r="K48" s="47"/>
      <c r="L48" s="47" t="s">
        <v>329</v>
      </c>
      <c r="M48" s="47">
        <v>1</v>
      </c>
      <c r="N48" s="47">
        <v>0</v>
      </c>
    </row>
    <row r="49" spans="2:14" hidden="1" x14ac:dyDescent="0.25">
      <c r="B49" s="27" t="s">
        <v>234</v>
      </c>
      <c r="C49" s="11" t="s">
        <v>411</v>
      </c>
      <c r="D49" s="55" t="s">
        <v>433</v>
      </c>
      <c r="E49" s="7" t="s">
        <v>237</v>
      </c>
      <c r="F49" s="7"/>
      <c r="G49" s="54" t="s">
        <v>448</v>
      </c>
      <c r="H49" s="7"/>
      <c r="I49" s="7"/>
      <c r="J49" s="50" t="s">
        <v>436</v>
      </c>
      <c r="K49" s="47"/>
      <c r="L49" s="47" t="s">
        <v>329</v>
      </c>
      <c r="M49" s="47">
        <v>1</v>
      </c>
      <c r="N49" s="47">
        <v>0</v>
      </c>
    </row>
    <row r="50" spans="2:14" ht="26.4" hidden="1" x14ac:dyDescent="0.25">
      <c r="B50" s="27" t="s">
        <v>234</v>
      </c>
      <c r="C50" s="11" t="s">
        <v>411</v>
      </c>
      <c r="D50" s="55" t="s">
        <v>433</v>
      </c>
      <c r="E50" s="7" t="s">
        <v>246</v>
      </c>
      <c r="F50" s="7"/>
      <c r="G50" s="54" t="s">
        <v>449</v>
      </c>
      <c r="H50" s="7"/>
      <c r="I50" s="7"/>
      <c r="J50" s="50" t="s">
        <v>437</v>
      </c>
      <c r="K50" s="47"/>
      <c r="L50" s="47" t="s">
        <v>329</v>
      </c>
      <c r="M50" s="47">
        <v>1</v>
      </c>
      <c r="N50" s="47">
        <v>0</v>
      </c>
    </row>
    <row r="51" spans="2:14" hidden="1" x14ac:dyDescent="0.25">
      <c r="B51" s="27" t="s">
        <v>234</v>
      </c>
      <c r="C51" s="11" t="s">
        <v>411</v>
      </c>
      <c r="D51" s="55" t="s">
        <v>443</v>
      </c>
      <c r="E51" s="7" t="s">
        <v>237</v>
      </c>
      <c r="F51" s="7"/>
      <c r="G51" s="54" t="s">
        <v>450</v>
      </c>
      <c r="H51" s="7"/>
      <c r="I51" s="7"/>
      <c r="J51" s="50" t="s">
        <v>438</v>
      </c>
      <c r="K51" s="47"/>
      <c r="L51" s="47" t="s">
        <v>329</v>
      </c>
      <c r="M51" s="47">
        <v>1</v>
      </c>
      <c r="N51" s="47">
        <v>0</v>
      </c>
    </row>
    <row r="52" spans="2:14" hidden="1" x14ac:dyDescent="0.25">
      <c r="B52" s="27" t="s">
        <v>234</v>
      </c>
      <c r="C52" s="11" t="s">
        <v>411</v>
      </c>
      <c r="D52" s="55" t="s">
        <v>443</v>
      </c>
      <c r="E52" s="7" t="s">
        <v>246</v>
      </c>
      <c r="F52" s="7"/>
      <c r="G52" s="54" t="s">
        <v>451</v>
      </c>
      <c r="H52" s="7"/>
      <c r="I52" s="7"/>
      <c r="J52" s="50" t="s">
        <v>439</v>
      </c>
      <c r="K52" s="47"/>
      <c r="L52" s="47" t="s">
        <v>329</v>
      </c>
      <c r="M52" s="47">
        <v>1</v>
      </c>
      <c r="N52" s="47">
        <v>0</v>
      </c>
    </row>
    <row r="53" spans="2:14" hidden="1" x14ac:dyDescent="0.25">
      <c r="B53" s="27" t="s">
        <v>234</v>
      </c>
      <c r="C53" s="11" t="s">
        <v>411</v>
      </c>
      <c r="D53" s="55" t="s">
        <v>444</v>
      </c>
      <c r="E53" s="7" t="s">
        <v>237</v>
      </c>
      <c r="F53" s="7"/>
      <c r="G53" s="54" t="s">
        <v>452</v>
      </c>
      <c r="H53" s="7"/>
      <c r="I53" s="7"/>
      <c r="J53" s="50" t="s">
        <v>440</v>
      </c>
      <c r="K53" s="47"/>
      <c r="L53" s="47" t="s">
        <v>329</v>
      </c>
      <c r="M53" s="47">
        <v>1</v>
      </c>
      <c r="N53" s="47">
        <v>0</v>
      </c>
    </row>
    <row r="54" spans="2:14" hidden="1" x14ac:dyDescent="0.25">
      <c r="B54" s="27" t="s">
        <v>234</v>
      </c>
      <c r="C54" s="11" t="s">
        <v>411</v>
      </c>
      <c r="D54" s="55" t="s">
        <v>444</v>
      </c>
      <c r="E54" s="7" t="s">
        <v>246</v>
      </c>
      <c r="F54" s="7"/>
      <c r="G54" s="54" t="s">
        <v>453</v>
      </c>
      <c r="H54" s="7"/>
      <c r="I54" s="7"/>
      <c r="J54" s="50" t="s">
        <v>441</v>
      </c>
      <c r="K54" s="47"/>
      <c r="L54" s="47" t="s">
        <v>329</v>
      </c>
      <c r="M54" s="47">
        <v>1</v>
      </c>
      <c r="N54" s="47">
        <v>0</v>
      </c>
    </row>
    <row r="55" spans="2:14" ht="26.4" hidden="1" x14ac:dyDescent="0.25">
      <c r="B55" s="27" t="s">
        <v>234</v>
      </c>
      <c r="C55" s="11" t="s">
        <v>411</v>
      </c>
      <c r="D55" s="55" t="s">
        <v>445</v>
      </c>
      <c r="E55" s="11" t="s">
        <v>237</v>
      </c>
      <c r="F55" s="7"/>
      <c r="G55" s="54" t="s">
        <v>454</v>
      </c>
      <c r="H55" s="7"/>
      <c r="I55" s="7"/>
      <c r="J55" s="50" t="s">
        <v>442</v>
      </c>
      <c r="K55" s="47"/>
      <c r="L55" s="47" t="s">
        <v>329</v>
      </c>
      <c r="M55" s="47">
        <v>1</v>
      </c>
      <c r="N55" s="47">
        <v>0</v>
      </c>
    </row>
    <row r="56" spans="2:14" hidden="1" x14ac:dyDescent="0.25">
      <c r="B56" s="27"/>
      <c r="C56" s="11" t="s">
        <v>455</v>
      </c>
      <c r="D56" s="55"/>
      <c r="E56" s="11"/>
      <c r="F56" s="7"/>
      <c r="G56" s="54"/>
      <c r="H56" s="7"/>
      <c r="I56" s="7"/>
      <c r="J56" s="50"/>
      <c r="K56" s="47"/>
      <c r="L56" s="47"/>
      <c r="M56" s="47"/>
      <c r="N56" s="47"/>
    </row>
    <row r="57" spans="2:14" ht="105.6" hidden="1" x14ac:dyDescent="0.25">
      <c r="B57" s="27"/>
      <c r="C57" s="11" t="s">
        <v>455</v>
      </c>
      <c r="D57" s="55"/>
      <c r="E57" s="11"/>
      <c r="F57" s="7"/>
      <c r="G57" s="61" t="s">
        <v>483</v>
      </c>
      <c r="H57" s="7"/>
      <c r="I57" s="7"/>
      <c r="J57" s="50"/>
      <c r="K57" s="47"/>
      <c r="L57" s="47"/>
      <c r="M57" s="47"/>
      <c r="N57" s="47"/>
    </row>
    <row r="58" spans="2:14" hidden="1" x14ac:dyDescent="0.25">
      <c r="B58" s="27" t="s">
        <v>234</v>
      </c>
      <c r="C58" s="11" t="s">
        <v>455</v>
      </c>
      <c r="D58" s="55" t="s">
        <v>426</v>
      </c>
      <c r="E58" s="7" t="s">
        <v>237</v>
      </c>
      <c r="F58" s="7"/>
      <c r="G58" s="54" t="s">
        <v>412</v>
      </c>
      <c r="H58" s="7"/>
      <c r="I58" s="7"/>
      <c r="J58" s="50" t="s">
        <v>302</v>
      </c>
      <c r="K58" s="47"/>
      <c r="L58" s="47" t="s">
        <v>286</v>
      </c>
      <c r="M58" s="47">
        <v>1</v>
      </c>
      <c r="N58" s="47">
        <v>0</v>
      </c>
    </row>
    <row r="59" spans="2:14" hidden="1" x14ac:dyDescent="0.25">
      <c r="B59" s="27" t="s">
        <v>234</v>
      </c>
      <c r="C59" s="11" t="s">
        <v>455</v>
      </c>
      <c r="D59" s="55" t="s">
        <v>426</v>
      </c>
      <c r="E59" s="7" t="s">
        <v>246</v>
      </c>
      <c r="F59" s="7"/>
      <c r="G59" s="54" t="s">
        <v>413</v>
      </c>
      <c r="H59" s="7"/>
      <c r="I59" s="7"/>
      <c r="J59" s="50" t="s">
        <v>303</v>
      </c>
      <c r="K59" s="47"/>
      <c r="L59" s="47" t="s">
        <v>325</v>
      </c>
      <c r="M59" s="47">
        <v>1</v>
      </c>
      <c r="N59" s="47">
        <v>0</v>
      </c>
    </row>
    <row r="60" spans="2:14" hidden="1" x14ac:dyDescent="0.25">
      <c r="B60" s="27" t="s">
        <v>234</v>
      </c>
      <c r="C60" s="11" t="s">
        <v>455</v>
      </c>
      <c r="D60" s="55" t="s">
        <v>427</v>
      </c>
      <c r="E60" s="7" t="s">
        <v>237</v>
      </c>
      <c r="F60" s="7"/>
      <c r="G60" s="54" t="s">
        <v>414</v>
      </c>
      <c r="H60" s="7"/>
      <c r="I60" s="7"/>
      <c r="J60" s="50" t="s">
        <v>304</v>
      </c>
      <c r="K60" s="47"/>
      <c r="L60" s="47" t="s">
        <v>325</v>
      </c>
      <c r="M60" s="47">
        <v>1</v>
      </c>
      <c r="N60" s="47">
        <v>0</v>
      </c>
    </row>
    <row r="61" spans="2:14" hidden="1" x14ac:dyDescent="0.25">
      <c r="B61" s="27" t="s">
        <v>234</v>
      </c>
      <c r="C61" s="11" t="s">
        <v>455</v>
      </c>
      <c r="D61" s="55" t="s">
        <v>427</v>
      </c>
      <c r="E61" s="7" t="s">
        <v>246</v>
      </c>
      <c r="F61" s="7"/>
      <c r="G61" s="54" t="s">
        <v>415</v>
      </c>
      <c r="H61" s="7"/>
      <c r="I61" s="7"/>
      <c r="J61" s="50" t="s">
        <v>305</v>
      </c>
      <c r="K61" s="47"/>
      <c r="L61" s="47" t="s">
        <v>325</v>
      </c>
      <c r="M61" s="47">
        <v>1</v>
      </c>
      <c r="N61" s="47">
        <v>0</v>
      </c>
    </row>
    <row r="62" spans="2:14" hidden="1" x14ac:dyDescent="0.25">
      <c r="B62" s="27" t="s">
        <v>234</v>
      </c>
      <c r="C62" s="11" t="s">
        <v>455</v>
      </c>
      <c r="D62" s="55" t="s">
        <v>428</v>
      </c>
      <c r="E62" s="7" t="s">
        <v>237</v>
      </c>
      <c r="F62" s="7"/>
      <c r="G62" s="54" t="s">
        <v>416</v>
      </c>
      <c r="H62" s="7"/>
      <c r="I62" s="7"/>
      <c r="J62" s="50" t="s">
        <v>306</v>
      </c>
      <c r="K62" s="47"/>
      <c r="L62" s="47" t="s">
        <v>325</v>
      </c>
      <c r="M62" s="47">
        <v>1</v>
      </c>
      <c r="N62" s="47">
        <v>0</v>
      </c>
    </row>
    <row r="63" spans="2:14" hidden="1" x14ac:dyDescent="0.25">
      <c r="B63" s="27" t="s">
        <v>234</v>
      </c>
      <c r="C63" s="11" t="s">
        <v>455</v>
      </c>
      <c r="D63" s="55" t="s">
        <v>432</v>
      </c>
      <c r="E63" s="7" t="s">
        <v>237</v>
      </c>
      <c r="F63" s="7"/>
      <c r="G63" s="54" t="s">
        <v>446</v>
      </c>
      <c r="H63" s="7"/>
      <c r="I63" s="7"/>
      <c r="J63" s="50" t="s">
        <v>456</v>
      </c>
      <c r="K63" s="47"/>
      <c r="L63" s="47" t="s">
        <v>325</v>
      </c>
      <c r="M63" s="47">
        <v>1</v>
      </c>
      <c r="N63" s="47">
        <v>0</v>
      </c>
    </row>
    <row r="64" spans="2:14" hidden="1" x14ac:dyDescent="0.25">
      <c r="B64" s="27" t="s">
        <v>234</v>
      </c>
      <c r="C64" s="11" t="s">
        <v>455</v>
      </c>
      <c r="D64" s="55" t="s">
        <v>432</v>
      </c>
      <c r="E64" s="7" t="s">
        <v>246</v>
      </c>
      <c r="F64" s="7"/>
      <c r="G64" s="54" t="s">
        <v>447</v>
      </c>
      <c r="H64" s="7"/>
      <c r="I64" s="7"/>
      <c r="J64" s="50" t="s">
        <v>457</v>
      </c>
      <c r="K64" s="47"/>
      <c r="L64" s="47" t="s">
        <v>325</v>
      </c>
      <c r="M64" s="47">
        <v>1</v>
      </c>
      <c r="N64" s="47">
        <v>0</v>
      </c>
    </row>
    <row r="65" spans="2:14" hidden="1" x14ac:dyDescent="0.25">
      <c r="B65" s="27" t="s">
        <v>234</v>
      </c>
      <c r="C65" s="11" t="s">
        <v>455</v>
      </c>
      <c r="D65" s="55" t="s">
        <v>433</v>
      </c>
      <c r="E65" s="7" t="s">
        <v>237</v>
      </c>
      <c r="F65" s="7"/>
      <c r="G65" s="54" t="s">
        <v>459</v>
      </c>
      <c r="H65" s="7"/>
      <c r="I65" s="7"/>
      <c r="J65" s="50" t="s">
        <v>458</v>
      </c>
      <c r="K65" s="47"/>
      <c r="L65" s="47" t="s">
        <v>325</v>
      </c>
      <c r="M65" s="47">
        <v>1</v>
      </c>
      <c r="N65" s="47">
        <v>0</v>
      </c>
    </row>
    <row r="66" spans="2:14" ht="26.4" hidden="1" x14ac:dyDescent="0.25">
      <c r="B66" s="27" t="s">
        <v>234</v>
      </c>
      <c r="C66" s="11" t="s">
        <v>455</v>
      </c>
      <c r="D66" s="55" t="s">
        <v>433</v>
      </c>
      <c r="E66" s="7" t="s">
        <v>246</v>
      </c>
      <c r="F66" s="7"/>
      <c r="G66" s="54" t="s">
        <v>460</v>
      </c>
      <c r="H66" s="7"/>
      <c r="I66" s="7"/>
      <c r="J66" s="50" t="s">
        <v>461</v>
      </c>
      <c r="K66" s="47"/>
      <c r="L66" s="47" t="s">
        <v>325</v>
      </c>
      <c r="M66" s="47">
        <v>1</v>
      </c>
      <c r="N66" s="47">
        <v>0</v>
      </c>
    </row>
    <row r="67" spans="2:14" hidden="1" x14ac:dyDescent="0.25">
      <c r="B67" s="27" t="s">
        <v>234</v>
      </c>
      <c r="C67" s="11" t="s">
        <v>455</v>
      </c>
      <c r="D67" s="55" t="s">
        <v>443</v>
      </c>
      <c r="E67" s="7" t="s">
        <v>237</v>
      </c>
      <c r="F67" s="7"/>
      <c r="G67" s="54" t="s">
        <v>450</v>
      </c>
      <c r="H67" s="7"/>
      <c r="I67" s="7"/>
      <c r="J67" s="50" t="s">
        <v>462</v>
      </c>
      <c r="K67" s="47"/>
      <c r="L67" s="47" t="s">
        <v>325</v>
      </c>
      <c r="M67" s="47">
        <v>1</v>
      </c>
      <c r="N67" s="47">
        <v>0</v>
      </c>
    </row>
    <row r="68" spans="2:14" hidden="1" x14ac:dyDescent="0.25">
      <c r="B68" s="27" t="s">
        <v>234</v>
      </c>
      <c r="C68" s="11" t="s">
        <v>455</v>
      </c>
      <c r="D68" s="55" t="s">
        <v>443</v>
      </c>
      <c r="E68" s="7" t="s">
        <v>246</v>
      </c>
      <c r="F68" s="7"/>
      <c r="G68" s="54" t="s">
        <v>451</v>
      </c>
      <c r="H68" s="7"/>
      <c r="I68" s="7"/>
      <c r="J68" s="50" t="s">
        <v>463</v>
      </c>
      <c r="K68" s="47"/>
      <c r="L68" s="47" t="s">
        <v>325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blank="1">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1"/>
  <sheetViews>
    <sheetView showGridLines="0" workbookViewId="0">
      <selection activeCell="B24" sqref="B24"/>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200" t="s">
        <v>492</v>
      </c>
      <c r="C1" s="201"/>
      <c r="D1" s="201"/>
      <c r="E1" s="201"/>
      <c r="F1" s="201"/>
      <c r="G1" s="201"/>
      <c r="H1" s="201"/>
    </row>
    <row r="2" spans="2:8" x14ac:dyDescent="0.25">
      <c r="B2" s="154" t="s">
        <v>491</v>
      </c>
    </row>
    <row r="3" spans="2:8" x14ac:dyDescent="0.25">
      <c r="B3" s="153" t="s">
        <v>490</v>
      </c>
      <c r="C3" s="24"/>
    </row>
    <row r="4" spans="2:8" x14ac:dyDescent="0.25">
      <c r="B4" s="153" t="s">
        <v>494</v>
      </c>
      <c r="C4" s="24"/>
    </row>
    <row r="5" spans="2:8" x14ac:dyDescent="0.25">
      <c r="B5" s="153"/>
      <c r="C5" s="24"/>
    </row>
    <row r="6" spans="2:8" x14ac:dyDescent="0.25">
      <c r="B6" s="153" t="s">
        <v>495</v>
      </c>
      <c r="C6" s="24"/>
    </row>
    <row r="8" spans="2:8" x14ac:dyDescent="0.25">
      <c r="B8" s="57"/>
      <c r="C8" s="58"/>
    </row>
    <row r="9" spans="2:8" x14ac:dyDescent="0.25">
      <c r="B9" s="154" t="s">
        <v>493</v>
      </c>
    </row>
    <row r="10" spans="2:8" x14ac:dyDescent="0.25">
      <c r="B10" s="57" t="s">
        <v>344</v>
      </c>
      <c r="C10" s="58" t="s">
        <v>346</v>
      </c>
    </row>
    <row r="11" spans="2:8" x14ac:dyDescent="0.25">
      <c r="B11" s="57" t="s">
        <v>343</v>
      </c>
      <c r="C11" s="58" t="s">
        <v>345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L154"/>
  <sheetViews>
    <sheetView topLeftCell="I1" workbookViewId="0">
      <pane ySplit="3" topLeftCell="A4" activePane="bottomLeft" state="frozen"/>
      <selection pane="bottomLeft" activeCell="I36" sqref="I36"/>
    </sheetView>
  </sheetViews>
  <sheetFormatPr baseColWidth="10" defaultRowHeight="13.2" x14ac:dyDescent="0.25"/>
  <cols>
    <col min="1" max="1" width="5.6640625" customWidth="1"/>
    <col min="2" max="2" width="3.33203125" bestFit="1" customWidth="1"/>
    <col min="3" max="3" width="14.33203125" customWidth="1"/>
    <col min="4" max="7" width="3.33203125" bestFit="1" customWidth="1"/>
    <col min="8" max="8" width="3.6640625" customWidth="1"/>
    <col min="9" max="9" width="71" customWidth="1"/>
    <col min="10" max="10" width="20.5546875" customWidth="1"/>
    <col min="11" max="11" width="74.33203125" customWidth="1"/>
    <col min="12" max="12" width="179.33203125" customWidth="1"/>
  </cols>
  <sheetData>
    <row r="1" spans="1:12" ht="17.399999999999999" x14ac:dyDescent="0.3">
      <c r="A1" s="13" t="s">
        <v>5</v>
      </c>
      <c r="B1" s="13"/>
      <c r="C1" s="13"/>
      <c r="D1" s="13"/>
      <c r="E1" s="13"/>
      <c r="F1" s="13"/>
      <c r="G1" s="13"/>
      <c r="H1" s="13"/>
      <c r="J1" s="13"/>
      <c r="L1" s="14">
        <v>43686</v>
      </c>
    </row>
    <row r="2" spans="1:12" ht="6.6" customHeight="1" x14ac:dyDescent="0.25">
      <c r="I2" s="15"/>
    </row>
    <row r="3" spans="1:12" ht="84.6" customHeight="1" x14ac:dyDescent="0.25">
      <c r="A3" s="3" t="s">
        <v>71</v>
      </c>
      <c r="B3" s="30" t="s">
        <v>90</v>
      </c>
      <c r="C3" s="2" t="s">
        <v>285</v>
      </c>
      <c r="D3" s="38" t="s">
        <v>238</v>
      </c>
      <c r="E3" s="38" t="s">
        <v>239</v>
      </c>
      <c r="F3" s="38" t="s">
        <v>258</v>
      </c>
      <c r="G3" s="38" t="s">
        <v>257</v>
      </c>
      <c r="H3" s="38" t="s">
        <v>274</v>
      </c>
      <c r="I3" s="3" t="s">
        <v>6</v>
      </c>
      <c r="J3" s="3" t="s">
        <v>0</v>
      </c>
      <c r="K3" s="3" t="s">
        <v>126</v>
      </c>
      <c r="L3" s="3" t="s">
        <v>127</v>
      </c>
    </row>
    <row r="4" spans="1:12" ht="14.4" x14ac:dyDescent="0.3">
      <c r="A4" s="11"/>
      <c r="B4" s="11"/>
      <c r="C4" s="43" t="s">
        <v>78</v>
      </c>
      <c r="D4" s="11">
        <v>1</v>
      </c>
      <c r="E4" s="11">
        <v>0</v>
      </c>
      <c r="F4" s="11">
        <v>0</v>
      </c>
      <c r="G4" s="11">
        <v>0</v>
      </c>
      <c r="H4" s="11">
        <v>1</v>
      </c>
      <c r="I4" s="10" t="s">
        <v>7</v>
      </c>
      <c r="J4" s="10" t="str">
        <f t="shared" ref="J4:J37" si="0">IF(I4&lt;&gt;"",LEFT(I4,FIND("(",I4)-1),"")</f>
        <v>Const</v>
      </c>
      <c r="K4" s="31" t="s">
        <v>15</v>
      </c>
      <c r="L4" s="31" t="s">
        <v>132</v>
      </c>
    </row>
    <row r="5" spans="1:12" x14ac:dyDescent="0.25">
      <c r="A5" s="11" t="s">
        <v>72</v>
      </c>
      <c r="B5" s="11"/>
      <c r="C5" s="43" t="s">
        <v>73</v>
      </c>
      <c r="D5" s="11">
        <v>1</v>
      </c>
      <c r="E5" s="11">
        <v>0</v>
      </c>
      <c r="F5" s="11">
        <v>0</v>
      </c>
      <c r="G5" s="11">
        <v>0</v>
      </c>
      <c r="H5" s="11"/>
      <c r="I5" s="10" t="s">
        <v>8</v>
      </c>
      <c r="J5" s="10" t="str">
        <f t="shared" si="0"/>
        <v>House</v>
      </c>
      <c r="K5" s="5" t="s">
        <v>128</v>
      </c>
      <c r="L5" s="5" t="s">
        <v>16</v>
      </c>
    </row>
    <row r="6" spans="1:12" x14ac:dyDescent="0.25">
      <c r="A6" s="11" t="s">
        <v>72</v>
      </c>
      <c r="B6" s="11"/>
      <c r="C6" s="43" t="s">
        <v>73</v>
      </c>
      <c r="D6" s="11">
        <v>1</v>
      </c>
      <c r="E6" s="11">
        <v>0</v>
      </c>
      <c r="F6" s="11">
        <v>0</v>
      </c>
      <c r="G6" s="11">
        <v>0</v>
      </c>
      <c r="H6" s="11"/>
      <c r="I6" s="10" t="s">
        <v>9</v>
      </c>
      <c r="J6" s="10" t="str">
        <f t="shared" si="0"/>
        <v>GasLights</v>
      </c>
      <c r="K6" s="5" t="s">
        <v>129</v>
      </c>
      <c r="L6" s="5" t="s">
        <v>131</v>
      </c>
    </row>
    <row r="7" spans="1:12" x14ac:dyDescent="0.25">
      <c r="A7" s="11" t="s">
        <v>241</v>
      </c>
      <c r="B7" s="11" t="s">
        <v>122</v>
      </c>
      <c r="C7" s="43">
        <v>0</v>
      </c>
      <c r="D7" s="11">
        <v>0</v>
      </c>
      <c r="E7" s="11">
        <v>0</v>
      </c>
      <c r="F7" s="11">
        <v>0</v>
      </c>
      <c r="G7" s="11">
        <v>0</v>
      </c>
      <c r="H7" s="11"/>
      <c r="I7" s="10" t="s">
        <v>322</v>
      </c>
      <c r="J7" s="10" t="str">
        <f t="shared" si="0"/>
        <v>Set_ColTab</v>
      </c>
      <c r="K7" s="5" t="s">
        <v>18</v>
      </c>
      <c r="L7" s="5" t="s">
        <v>18</v>
      </c>
    </row>
    <row r="8" spans="1:12" x14ac:dyDescent="0.25">
      <c r="A8" s="7"/>
      <c r="B8" s="7"/>
      <c r="C8" s="42"/>
      <c r="D8" s="7"/>
      <c r="E8" s="7"/>
      <c r="F8" s="7"/>
      <c r="G8" s="11"/>
      <c r="H8" s="11"/>
      <c r="I8" s="10"/>
      <c r="J8" s="10" t="str">
        <f t="shared" si="0"/>
        <v/>
      </c>
      <c r="K8" s="18"/>
      <c r="L8" s="4"/>
    </row>
    <row r="9" spans="1:12" x14ac:dyDescent="0.25">
      <c r="A9" s="11"/>
      <c r="B9" s="11" t="s">
        <v>122</v>
      </c>
      <c r="C9" s="43">
        <v>0</v>
      </c>
      <c r="D9" s="11" t="s">
        <v>73</v>
      </c>
      <c r="E9" s="11">
        <v>1</v>
      </c>
      <c r="F9" s="11">
        <v>0</v>
      </c>
      <c r="G9" s="11">
        <v>0</v>
      </c>
      <c r="H9" s="11"/>
      <c r="I9" s="10" t="s">
        <v>11</v>
      </c>
      <c r="J9" s="10" t="str">
        <f t="shared" si="0"/>
        <v>Logic</v>
      </c>
      <c r="K9" s="4"/>
      <c r="L9" s="4"/>
    </row>
    <row r="10" spans="1:12" x14ac:dyDescent="0.25">
      <c r="A10" s="11"/>
      <c r="B10" s="11" t="s">
        <v>122</v>
      </c>
      <c r="C10" s="43">
        <v>0</v>
      </c>
      <c r="D10" s="11">
        <v>1</v>
      </c>
      <c r="E10" s="11" t="s">
        <v>73</v>
      </c>
      <c r="F10" s="11">
        <v>0</v>
      </c>
      <c r="G10" s="11">
        <v>0</v>
      </c>
      <c r="H10" s="11"/>
      <c r="I10" s="10" t="s">
        <v>181</v>
      </c>
      <c r="J10" s="10" t="str">
        <f t="shared" si="0"/>
        <v>Counter</v>
      </c>
      <c r="K10" s="4"/>
      <c r="L10" s="4"/>
    </row>
    <row r="11" spans="1:12" x14ac:dyDescent="0.25">
      <c r="A11" s="11"/>
      <c r="B11" s="11" t="s">
        <v>122</v>
      </c>
      <c r="C11" s="43">
        <v>0</v>
      </c>
      <c r="D11" s="11">
        <v>1</v>
      </c>
      <c r="E11" s="11" t="s">
        <v>73</v>
      </c>
      <c r="F11" s="11">
        <v>0</v>
      </c>
      <c r="G11" s="11">
        <v>0</v>
      </c>
      <c r="H11" s="11"/>
      <c r="I11" s="10" t="s">
        <v>168</v>
      </c>
      <c r="J11" s="10" t="str">
        <f t="shared" si="0"/>
        <v>RandMux</v>
      </c>
      <c r="K11" s="4"/>
      <c r="L11" s="4"/>
    </row>
    <row r="12" spans="1:12" x14ac:dyDescent="0.25">
      <c r="A12" s="11"/>
      <c r="B12" s="11" t="s">
        <v>122</v>
      </c>
      <c r="C12" s="43">
        <v>0</v>
      </c>
      <c r="D12" s="11">
        <v>1</v>
      </c>
      <c r="E12" s="11">
        <v>1</v>
      </c>
      <c r="F12" s="11">
        <v>0</v>
      </c>
      <c r="G12" s="11">
        <v>0</v>
      </c>
      <c r="H12" s="11"/>
      <c r="I12" s="10" t="s">
        <v>12</v>
      </c>
      <c r="J12" s="10" t="str">
        <f t="shared" si="0"/>
        <v>Random</v>
      </c>
      <c r="K12" s="4"/>
      <c r="L12" s="4"/>
    </row>
    <row r="13" spans="1:12" x14ac:dyDescent="0.25">
      <c r="A13" s="11"/>
      <c r="B13" s="11" t="s">
        <v>122</v>
      </c>
      <c r="C13" s="43"/>
      <c r="D13" s="11"/>
      <c r="E13" s="11"/>
      <c r="F13" s="11"/>
      <c r="G13" s="11"/>
      <c r="H13" s="11"/>
      <c r="I13" s="10"/>
      <c r="J13" s="10"/>
      <c r="K13" s="4"/>
      <c r="L13" s="4"/>
    </row>
    <row r="14" spans="1:12" x14ac:dyDescent="0.25">
      <c r="A14" s="11"/>
      <c r="B14" s="11"/>
      <c r="C14" s="43">
        <v>1</v>
      </c>
      <c r="D14" s="11">
        <v>1</v>
      </c>
      <c r="E14" s="11">
        <v>0</v>
      </c>
      <c r="F14" s="11">
        <v>0</v>
      </c>
      <c r="G14" s="11">
        <v>0</v>
      </c>
      <c r="H14" s="11"/>
      <c r="I14" s="10" t="s">
        <v>167</v>
      </c>
      <c r="J14" s="10" t="str">
        <f t="shared" si="0"/>
        <v>Welding</v>
      </c>
      <c r="K14" s="5" t="s">
        <v>133</v>
      </c>
      <c r="L14" s="5" t="s">
        <v>134</v>
      </c>
    </row>
    <row r="15" spans="1:12" x14ac:dyDescent="0.25">
      <c r="A15" s="11"/>
      <c r="B15" s="11"/>
      <c r="C15" s="43">
        <v>1</v>
      </c>
      <c r="D15" s="11">
        <v>1</v>
      </c>
      <c r="E15" s="11">
        <v>0</v>
      </c>
      <c r="F15" s="11">
        <v>1</v>
      </c>
      <c r="G15" s="11">
        <v>0</v>
      </c>
      <c r="H15" s="11"/>
      <c r="I15" s="10" t="s">
        <v>259</v>
      </c>
      <c r="J15" s="10" t="str">
        <f t="shared" si="0"/>
        <v>RandWelding</v>
      </c>
      <c r="K15" s="5" t="s">
        <v>135</v>
      </c>
      <c r="L15" s="5" t="s">
        <v>269</v>
      </c>
    </row>
    <row r="16" spans="1:12" x14ac:dyDescent="0.25">
      <c r="A16" s="11"/>
      <c r="B16" s="11"/>
      <c r="C16" s="43" t="s">
        <v>74</v>
      </c>
      <c r="D16" s="11">
        <v>1</v>
      </c>
      <c r="E16" s="11">
        <v>0</v>
      </c>
      <c r="F16" s="11">
        <v>0</v>
      </c>
      <c r="G16" s="11">
        <v>0</v>
      </c>
      <c r="H16" s="11"/>
      <c r="I16" s="10" t="s">
        <v>10</v>
      </c>
      <c r="J16" s="10" t="str">
        <f>IF(I16&lt;&gt;"",LEFT(I16,FIND("(",I16)-1),"")</f>
        <v>Fire</v>
      </c>
      <c r="K16" s="5" t="s">
        <v>130</v>
      </c>
      <c r="L16" s="5" t="s">
        <v>17</v>
      </c>
    </row>
    <row r="17" spans="1:12" x14ac:dyDescent="0.25">
      <c r="A17" s="7"/>
      <c r="B17" s="7"/>
      <c r="C17" s="42"/>
      <c r="D17" s="7"/>
      <c r="E17" s="7"/>
      <c r="F17" s="7"/>
      <c r="G17" s="11"/>
      <c r="H17" s="11"/>
      <c r="I17" s="10"/>
      <c r="J17" s="10" t="str">
        <f t="shared" si="0"/>
        <v/>
      </c>
      <c r="K17" s="4"/>
      <c r="L17" s="4"/>
    </row>
    <row r="18" spans="1:12" x14ac:dyDescent="0.25">
      <c r="A18" s="7"/>
      <c r="B18" s="11" t="s">
        <v>122</v>
      </c>
      <c r="C18" s="42">
        <v>1</v>
      </c>
      <c r="D18" s="7">
        <v>1</v>
      </c>
      <c r="E18" s="7">
        <v>0</v>
      </c>
      <c r="F18" s="7">
        <v>0</v>
      </c>
      <c r="G18" s="11">
        <v>0</v>
      </c>
      <c r="H18" s="11"/>
      <c r="I18" s="10" t="s">
        <v>182</v>
      </c>
      <c r="J18" s="10" t="str">
        <f t="shared" si="0"/>
        <v>CopyLED</v>
      </c>
      <c r="K18" s="4"/>
      <c r="L18" s="4"/>
    </row>
    <row r="19" spans="1:12" x14ac:dyDescent="0.25">
      <c r="A19" s="7"/>
      <c r="B19" s="11" t="s">
        <v>122</v>
      </c>
      <c r="C19" s="42">
        <v>0</v>
      </c>
      <c r="D19" s="7">
        <v>1</v>
      </c>
      <c r="E19" s="11" t="s">
        <v>73</v>
      </c>
      <c r="F19" s="7">
        <v>0</v>
      </c>
      <c r="G19" s="11">
        <v>0</v>
      </c>
      <c r="H19" s="11"/>
      <c r="I19" s="10" t="s">
        <v>13</v>
      </c>
      <c r="J19" s="10" t="str">
        <f t="shared" si="0"/>
        <v>Schedule</v>
      </c>
      <c r="K19" s="4"/>
      <c r="L19" s="4"/>
    </row>
    <row r="20" spans="1:12" x14ac:dyDescent="0.25">
      <c r="A20" s="7"/>
      <c r="B20" s="11" t="s">
        <v>122</v>
      </c>
      <c r="C20" s="42">
        <v>0</v>
      </c>
      <c r="D20" s="7">
        <v>0</v>
      </c>
      <c r="E20" s="7">
        <v>0</v>
      </c>
      <c r="F20" s="7">
        <v>0</v>
      </c>
      <c r="G20" s="11">
        <v>0</v>
      </c>
      <c r="H20" s="11"/>
      <c r="I20" s="10" t="s">
        <v>191</v>
      </c>
      <c r="J20" s="10" t="str">
        <f t="shared" si="0"/>
        <v>New_HSV_Group</v>
      </c>
      <c r="K20" s="4"/>
      <c r="L20" s="4"/>
    </row>
    <row r="21" spans="1:12" x14ac:dyDescent="0.25">
      <c r="A21" s="7"/>
      <c r="B21" s="11" t="s">
        <v>122</v>
      </c>
      <c r="C21" s="42">
        <v>0</v>
      </c>
      <c r="D21" s="7">
        <v>0</v>
      </c>
      <c r="E21" s="7">
        <v>0</v>
      </c>
      <c r="F21" s="7">
        <v>0</v>
      </c>
      <c r="G21" s="11">
        <v>0</v>
      </c>
      <c r="H21" s="11"/>
      <c r="I21" s="10" t="s">
        <v>192</v>
      </c>
      <c r="J21" s="10" t="str">
        <f t="shared" si="0"/>
        <v>New_Local_Var</v>
      </c>
      <c r="K21" s="5" t="s">
        <v>136</v>
      </c>
      <c r="L21" s="5" t="s">
        <v>137</v>
      </c>
    </row>
    <row r="22" spans="1:12" x14ac:dyDescent="0.25">
      <c r="A22" s="7"/>
      <c r="B22" s="11" t="s">
        <v>122</v>
      </c>
      <c r="C22" s="42">
        <v>0</v>
      </c>
      <c r="D22" s="7">
        <v>0</v>
      </c>
      <c r="E22" s="7">
        <v>0</v>
      </c>
      <c r="F22" s="7">
        <v>0</v>
      </c>
      <c r="G22" s="11">
        <v>0</v>
      </c>
      <c r="H22" s="11"/>
      <c r="I22" s="10" t="s">
        <v>197</v>
      </c>
      <c r="J22" s="10" t="str">
        <f t="shared" si="0"/>
        <v>Use_GlobalVar</v>
      </c>
      <c r="K22" s="4"/>
      <c r="L22" s="4"/>
    </row>
    <row r="23" spans="1:12" x14ac:dyDescent="0.25">
      <c r="A23" s="11"/>
      <c r="B23" s="11" t="s">
        <v>122</v>
      </c>
      <c r="C23" s="43">
        <v>0</v>
      </c>
      <c r="D23" s="11" t="s">
        <v>73</v>
      </c>
      <c r="E23" s="11">
        <v>0</v>
      </c>
      <c r="F23" s="11">
        <v>0</v>
      </c>
      <c r="G23" s="11">
        <v>1</v>
      </c>
      <c r="H23" s="11"/>
      <c r="I23" s="10" t="s">
        <v>297</v>
      </c>
      <c r="J23" s="10" t="str">
        <f t="shared" si="0"/>
        <v>InCh_to_TmpVar</v>
      </c>
      <c r="K23" s="5" t="s">
        <v>138</v>
      </c>
      <c r="L23" s="5" t="s">
        <v>244</v>
      </c>
    </row>
    <row r="24" spans="1:12" x14ac:dyDescent="0.25">
      <c r="A24" s="7"/>
      <c r="B24" s="11" t="s">
        <v>122</v>
      </c>
      <c r="C24" s="42">
        <v>0</v>
      </c>
      <c r="D24" s="11" t="s">
        <v>73</v>
      </c>
      <c r="E24" s="7">
        <v>0</v>
      </c>
      <c r="F24" s="7">
        <v>0</v>
      </c>
      <c r="G24" s="11">
        <v>1</v>
      </c>
      <c r="H24" s="11"/>
      <c r="I24" s="10" t="s">
        <v>298</v>
      </c>
      <c r="J24" s="10" t="str">
        <f t="shared" si="0"/>
        <v>Bin_InCh_to_TmpVar</v>
      </c>
      <c r="K24" s="5" t="s">
        <v>245</v>
      </c>
      <c r="L24" s="5" t="s">
        <v>310</v>
      </c>
    </row>
    <row r="25" spans="1:12" x14ac:dyDescent="0.25">
      <c r="A25" s="7"/>
      <c r="B25" s="7"/>
      <c r="C25" s="43" t="s">
        <v>289</v>
      </c>
      <c r="D25" s="7">
        <v>0</v>
      </c>
      <c r="E25" s="7">
        <v>0</v>
      </c>
      <c r="F25" s="7">
        <v>0</v>
      </c>
      <c r="G25" s="11">
        <v>0</v>
      </c>
      <c r="H25" s="11"/>
      <c r="I25" s="41" t="s">
        <v>290</v>
      </c>
      <c r="J25" s="10" t="s">
        <v>311</v>
      </c>
      <c r="K25" s="5" t="s">
        <v>271</v>
      </c>
      <c r="L25" s="5" t="s">
        <v>272</v>
      </c>
    </row>
    <row r="26" spans="1:12" x14ac:dyDescent="0.25">
      <c r="A26" s="7"/>
      <c r="B26" s="11" t="s">
        <v>122</v>
      </c>
      <c r="C26" s="43" t="s">
        <v>291</v>
      </c>
      <c r="D26" s="7">
        <v>0</v>
      </c>
      <c r="E26" s="7">
        <v>0</v>
      </c>
      <c r="F26" s="7">
        <v>0</v>
      </c>
      <c r="G26" s="11">
        <v>0</v>
      </c>
      <c r="H26" s="11"/>
      <c r="I26" s="41" t="s">
        <v>292</v>
      </c>
      <c r="J26" s="10" t="s">
        <v>312</v>
      </c>
      <c r="K26" s="5" t="s">
        <v>293</v>
      </c>
      <c r="L26" s="5" t="s">
        <v>294</v>
      </c>
    </row>
    <row r="27" spans="1:12" x14ac:dyDescent="0.25">
      <c r="A27" s="7"/>
      <c r="B27" s="7"/>
      <c r="C27" s="43" t="s">
        <v>78</v>
      </c>
      <c r="D27" s="7">
        <v>1</v>
      </c>
      <c r="E27" s="7">
        <v>0</v>
      </c>
      <c r="F27" s="7">
        <v>0</v>
      </c>
      <c r="G27" s="11">
        <v>0</v>
      </c>
      <c r="H27" s="11">
        <v>1</v>
      </c>
      <c r="I27" s="10" t="s">
        <v>193</v>
      </c>
      <c r="J27" s="10" t="str">
        <f t="shared" si="0"/>
        <v>Button</v>
      </c>
      <c r="K27" s="5" t="s">
        <v>213</v>
      </c>
      <c r="L27" s="5" t="s">
        <v>212</v>
      </c>
    </row>
    <row r="28" spans="1:12" x14ac:dyDescent="0.25">
      <c r="A28" s="7"/>
      <c r="B28" s="7"/>
      <c r="C28" s="43" t="s">
        <v>78</v>
      </c>
      <c r="D28" s="7">
        <v>1</v>
      </c>
      <c r="E28" s="7">
        <v>0</v>
      </c>
      <c r="F28" s="7">
        <v>0</v>
      </c>
      <c r="G28" s="11">
        <v>0</v>
      </c>
      <c r="H28" s="11">
        <v>1</v>
      </c>
      <c r="I28" s="10" t="s">
        <v>194</v>
      </c>
      <c r="J28" s="10" t="str">
        <f t="shared" si="0"/>
        <v>ButtonNOff</v>
      </c>
      <c r="K28" s="5" t="s">
        <v>214</v>
      </c>
      <c r="L28" s="5" t="s">
        <v>215</v>
      </c>
    </row>
    <row r="29" spans="1:12" x14ac:dyDescent="0.25">
      <c r="A29" s="7"/>
      <c r="B29" s="7"/>
      <c r="C29" s="43" t="s">
        <v>78</v>
      </c>
      <c r="D29" s="7">
        <v>1</v>
      </c>
      <c r="E29" s="7">
        <v>0</v>
      </c>
      <c r="F29" s="7">
        <v>0</v>
      </c>
      <c r="G29" s="11">
        <v>0</v>
      </c>
      <c r="H29" s="11">
        <v>1</v>
      </c>
      <c r="I29" s="10" t="s">
        <v>198</v>
      </c>
      <c r="J29" s="10" t="str">
        <f t="shared" si="0"/>
        <v>Blinker</v>
      </c>
      <c r="K29" s="5" t="s">
        <v>216</v>
      </c>
      <c r="L29" s="5"/>
    </row>
    <row r="30" spans="1:12" x14ac:dyDescent="0.25">
      <c r="A30" s="7"/>
      <c r="B30" s="7"/>
      <c r="C30" s="43" t="s">
        <v>78</v>
      </c>
      <c r="D30" s="7">
        <v>1</v>
      </c>
      <c r="E30" s="7">
        <v>0</v>
      </c>
      <c r="F30" s="7">
        <v>0</v>
      </c>
      <c r="G30" s="11">
        <v>0</v>
      </c>
      <c r="H30" s="11">
        <v>1</v>
      </c>
      <c r="I30" s="10" t="s">
        <v>199</v>
      </c>
      <c r="J30" s="10" t="str">
        <f t="shared" si="0"/>
        <v>BlinkerInvInp</v>
      </c>
      <c r="K30" s="5" t="s">
        <v>217</v>
      </c>
      <c r="L30" s="4"/>
    </row>
    <row r="31" spans="1:12" x14ac:dyDescent="0.25">
      <c r="A31" s="7"/>
      <c r="B31" s="7"/>
      <c r="C31" s="43" t="s">
        <v>78</v>
      </c>
      <c r="D31" s="7">
        <v>1</v>
      </c>
      <c r="E31" s="7">
        <v>0</v>
      </c>
      <c r="F31" s="7">
        <v>0</v>
      </c>
      <c r="G31" s="11">
        <v>0</v>
      </c>
      <c r="H31" s="11">
        <v>1</v>
      </c>
      <c r="I31" s="10" t="s">
        <v>200</v>
      </c>
      <c r="J31" s="10" t="str">
        <f t="shared" si="0"/>
        <v>BlinkerHD</v>
      </c>
      <c r="K31" s="5" t="s">
        <v>218</v>
      </c>
      <c r="L31" s="4"/>
    </row>
    <row r="32" spans="1:12" x14ac:dyDescent="0.25">
      <c r="A32" s="7"/>
      <c r="B32" s="7"/>
      <c r="C32" s="43" t="s">
        <v>78</v>
      </c>
      <c r="D32" s="7">
        <v>1</v>
      </c>
      <c r="E32" s="7">
        <v>0</v>
      </c>
      <c r="F32" s="7">
        <v>0</v>
      </c>
      <c r="G32" s="11">
        <v>0</v>
      </c>
      <c r="H32" s="11">
        <v>1</v>
      </c>
      <c r="I32" s="10" t="s">
        <v>195</v>
      </c>
      <c r="J32" s="10" t="str">
        <f t="shared" si="0"/>
        <v>Blink2</v>
      </c>
      <c r="K32" s="5" t="s">
        <v>219</v>
      </c>
      <c r="L32" s="4"/>
    </row>
    <row r="33" spans="1:12" x14ac:dyDescent="0.25">
      <c r="A33" s="7"/>
      <c r="B33" s="7"/>
      <c r="C33" s="43" t="s">
        <v>78</v>
      </c>
      <c r="D33" s="7">
        <v>1</v>
      </c>
      <c r="E33" s="7">
        <v>0</v>
      </c>
      <c r="F33" s="7">
        <v>0</v>
      </c>
      <c r="G33" s="11">
        <v>0</v>
      </c>
      <c r="H33" s="11">
        <v>1</v>
      </c>
      <c r="I33" s="10" t="s">
        <v>14</v>
      </c>
      <c r="J33" s="10" t="str">
        <f t="shared" si="0"/>
        <v>Blink3</v>
      </c>
      <c r="K33" s="5" t="s">
        <v>220</v>
      </c>
      <c r="L33" s="4"/>
    </row>
    <row r="34" spans="1:12" x14ac:dyDescent="0.25">
      <c r="A34" s="7"/>
      <c r="B34" s="7"/>
      <c r="C34" s="43" t="s">
        <v>78</v>
      </c>
      <c r="D34" s="7">
        <v>1</v>
      </c>
      <c r="E34" s="7">
        <v>0</v>
      </c>
      <c r="F34" s="7">
        <v>0</v>
      </c>
      <c r="G34" s="11">
        <v>0</v>
      </c>
      <c r="H34" s="11">
        <v>1</v>
      </c>
      <c r="I34" s="10" t="s">
        <v>183</v>
      </c>
      <c r="J34" s="10" t="str">
        <f t="shared" si="0"/>
        <v>BlueLight1</v>
      </c>
      <c r="K34" s="5" t="s">
        <v>221</v>
      </c>
      <c r="L34" s="4"/>
    </row>
    <row r="35" spans="1:12" ht="14.4" x14ac:dyDescent="0.25">
      <c r="A35" s="7"/>
      <c r="B35" s="7"/>
      <c r="C35" s="43" t="s">
        <v>78</v>
      </c>
      <c r="D35" s="7">
        <v>1</v>
      </c>
      <c r="E35" s="7">
        <v>0</v>
      </c>
      <c r="F35" s="7">
        <v>0</v>
      </c>
      <c r="G35" s="11">
        <v>0</v>
      </c>
      <c r="H35" s="11">
        <v>1</v>
      </c>
      <c r="I35" s="10" t="s">
        <v>184</v>
      </c>
      <c r="J35" s="10" t="str">
        <f t="shared" si="0"/>
        <v>BlueLight2</v>
      </c>
      <c r="K35" s="32" t="s">
        <v>226</v>
      </c>
      <c r="L35" s="32" t="s">
        <v>222</v>
      </c>
    </row>
    <row r="36" spans="1:12" x14ac:dyDescent="0.25">
      <c r="A36" s="7"/>
      <c r="B36" s="7"/>
      <c r="C36" s="43" t="s">
        <v>78</v>
      </c>
      <c r="D36" s="7">
        <v>1</v>
      </c>
      <c r="E36" s="7">
        <v>0</v>
      </c>
      <c r="F36" s="7">
        <v>0</v>
      </c>
      <c r="G36" s="11">
        <v>0</v>
      </c>
      <c r="H36" s="11">
        <v>1</v>
      </c>
      <c r="I36" s="10" t="s">
        <v>185</v>
      </c>
      <c r="J36" s="10" t="str">
        <f t="shared" si="0"/>
        <v>Leuchtfeuer</v>
      </c>
      <c r="K36" s="5" t="s">
        <v>225</v>
      </c>
      <c r="L36" s="5" t="s">
        <v>223</v>
      </c>
    </row>
    <row r="37" spans="1:12" ht="14.4" x14ac:dyDescent="0.3">
      <c r="A37" s="7"/>
      <c r="B37" s="7"/>
      <c r="C37" s="42">
        <v>1</v>
      </c>
      <c r="D37" s="7">
        <v>1</v>
      </c>
      <c r="E37" s="7">
        <v>0</v>
      </c>
      <c r="F37" s="7">
        <v>0</v>
      </c>
      <c r="G37" s="11">
        <v>0</v>
      </c>
      <c r="H37" s="11"/>
      <c r="I37" s="10" t="s">
        <v>187</v>
      </c>
      <c r="J37" s="10" t="str">
        <f t="shared" si="0"/>
        <v>LeuchtfeuerALL</v>
      </c>
      <c r="K37" s="31" t="s">
        <v>224</v>
      </c>
      <c r="L37" s="4"/>
    </row>
    <row r="38" spans="1:12" x14ac:dyDescent="0.25">
      <c r="A38" s="7"/>
      <c r="B38" s="7"/>
      <c r="C38" s="43" t="s">
        <v>78</v>
      </c>
      <c r="D38" s="7">
        <v>1</v>
      </c>
      <c r="E38" s="7">
        <v>0</v>
      </c>
      <c r="F38" s="7">
        <v>0</v>
      </c>
      <c r="G38" s="11">
        <v>0</v>
      </c>
      <c r="H38" s="11">
        <v>2</v>
      </c>
      <c r="I38" s="10" t="s">
        <v>186</v>
      </c>
      <c r="J38" s="10" t="str">
        <f t="shared" ref="J38:J79" si="1">IF(I38&lt;&gt;"",LEFT(I38,FIND("(",I38)-1),"")</f>
        <v>Andreaskreuz</v>
      </c>
      <c r="K38" s="5" t="s">
        <v>227</v>
      </c>
      <c r="L38" s="5" t="s">
        <v>273</v>
      </c>
    </row>
    <row r="39" spans="1:12" x14ac:dyDescent="0.25">
      <c r="A39" s="7"/>
      <c r="B39" s="7"/>
      <c r="C39" s="42">
        <v>2</v>
      </c>
      <c r="D39" s="7">
        <v>1</v>
      </c>
      <c r="E39" s="7">
        <v>0</v>
      </c>
      <c r="F39" s="7">
        <v>0</v>
      </c>
      <c r="G39" s="11">
        <v>0</v>
      </c>
      <c r="H39" s="11"/>
      <c r="I39" s="10" t="s">
        <v>188</v>
      </c>
      <c r="J39" s="10" t="str">
        <f t="shared" si="1"/>
        <v>AndreaskrRGB</v>
      </c>
      <c r="K39" s="5" t="s">
        <v>228</v>
      </c>
      <c r="L39" s="4"/>
    </row>
    <row r="40" spans="1:12" x14ac:dyDescent="0.25">
      <c r="A40" s="7"/>
      <c r="B40" s="7"/>
      <c r="C40" s="42">
        <v>6</v>
      </c>
      <c r="D40" s="7">
        <v>1</v>
      </c>
      <c r="E40" s="7">
        <v>0</v>
      </c>
      <c r="F40" s="7">
        <v>0</v>
      </c>
      <c r="G40" s="11">
        <v>0</v>
      </c>
      <c r="H40" s="11"/>
      <c r="I40" s="10" t="s">
        <v>189</v>
      </c>
      <c r="J40" s="10" t="str">
        <f t="shared" si="1"/>
        <v>RGB_AmpelX</v>
      </c>
      <c r="K40" s="5" t="s">
        <v>231</v>
      </c>
      <c r="L40" s="5"/>
    </row>
    <row r="41" spans="1:12" x14ac:dyDescent="0.25">
      <c r="A41" s="7"/>
      <c r="B41" s="7"/>
      <c r="C41" s="42">
        <v>6</v>
      </c>
      <c r="D41" s="7">
        <v>1</v>
      </c>
      <c r="E41" s="7">
        <v>0</v>
      </c>
      <c r="F41" s="7">
        <v>0</v>
      </c>
      <c r="G41" s="11">
        <v>0</v>
      </c>
      <c r="H41" s="11"/>
      <c r="I41" s="10" t="s">
        <v>190</v>
      </c>
      <c r="J41" s="10" t="str">
        <f t="shared" si="1"/>
        <v>RGB_AmpelXFade</v>
      </c>
      <c r="K41" s="5" t="s">
        <v>232</v>
      </c>
      <c r="L41" s="4"/>
    </row>
    <row r="42" spans="1:12" x14ac:dyDescent="0.25">
      <c r="A42" s="7"/>
      <c r="B42" s="7"/>
      <c r="C42" s="43" t="s">
        <v>283</v>
      </c>
      <c r="D42" s="7">
        <v>1</v>
      </c>
      <c r="E42" s="7">
        <v>0</v>
      </c>
      <c r="F42" s="7">
        <v>0</v>
      </c>
      <c r="G42" s="11">
        <v>0</v>
      </c>
      <c r="H42" s="11">
        <v>6</v>
      </c>
      <c r="I42" s="6" t="s">
        <v>196</v>
      </c>
      <c r="J42" s="10" t="str">
        <f t="shared" si="1"/>
        <v>AmpelX</v>
      </c>
      <c r="K42" s="5" t="s">
        <v>229</v>
      </c>
      <c r="L42" s="5" t="s">
        <v>230</v>
      </c>
    </row>
    <row r="43" spans="1:12" x14ac:dyDescent="0.25">
      <c r="A43" s="7"/>
      <c r="B43" s="7"/>
      <c r="C43" s="43" t="s">
        <v>78</v>
      </c>
      <c r="D43" s="7">
        <v>1</v>
      </c>
      <c r="E43" s="7">
        <v>0</v>
      </c>
      <c r="F43" s="11">
        <v>1</v>
      </c>
      <c r="G43" s="11">
        <v>0</v>
      </c>
      <c r="H43" s="11">
        <v>1</v>
      </c>
      <c r="I43" s="10" t="s">
        <v>260</v>
      </c>
      <c r="J43" s="10" t="str">
        <f t="shared" si="1"/>
        <v>Flash</v>
      </c>
      <c r="K43" s="9" t="s">
        <v>233</v>
      </c>
      <c r="L43" s="29" t="s">
        <v>240</v>
      </c>
    </row>
    <row r="44" spans="1:12" x14ac:dyDescent="0.25">
      <c r="A44" s="7"/>
      <c r="B44" s="7"/>
      <c r="C44" s="60">
        <v>6</v>
      </c>
      <c r="D44" s="7">
        <v>1</v>
      </c>
      <c r="E44" s="7">
        <v>0</v>
      </c>
      <c r="F44" s="11">
        <v>0</v>
      </c>
      <c r="G44" s="11">
        <v>0</v>
      </c>
      <c r="H44" s="11"/>
      <c r="I44" s="10" t="s">
        <v>367</v>
      </c>
      <c r="J44" s="10" t="str">
        <f t="shared" si="1"/>
        <v>ConstrWarnLightRGB6</v>
      </c>
      <c r="K44" s="9" t="s">
        <v>357</v>
      </c>
      <c r="L44" s="29" t="s">
        <v>356</v>
      </c>
    </row>
    <row r="45" spans="1:12" x14ac:dyDescent="0.25">
      <c r="A45" s="7"/>
      <c r="B45" s="7"/>
      <c r="C45" s="43" t="s">
        <v>362</v>
      </c>
      <c r="D45" s="7">
        <v>1</v>
      </c>
      <c r="E45" s="7">
        <v>0</v>
      </c>
      <c r="F45" s="11">
        <v>0</v>
      </c>
      <c r="G45" s="11">
        <v>0</v>
      </c>
      <c r="H45" s="11" t="s">
        <v>73</v>
      </c>
      <c r="I45" s="10" t="s">
        <v>366</v>
      </c>
      <c r="J45" s="10" t="str">
        <f t="shared" ref="J45:J49" si="2">IF(I45&lt;&gt;"",LEFT(I45,FIND("(",I45)-1),"")</f>
        <v>ConstrWarnLight</v>
      </c>
      <c r="K45" s="9" t="s">
        <v>360</v>
      </c>
      <c r="L45" s="29" t="s">
        <v>361</v>
      </c>
    </row>
    <row r="46" spans="1:12" x14ac:dyDescent="0.25">
      <c r="A46" s="7"/>
      <c r="B46" s="7"/>
      <c r="C46" s="43" t="s">
        <v>323</v>
      </c>
      <c r="D46" s="7">
        <v>3</v>
      </c>
      <c r="E46" s="7">
        <v>0</v>
      </c>
      <c r="F46" s="11">
        <v>0</v>
      </c>
      <c r="G46" s="11">
        <v>0</v>
      </c>
      <c r="H46" s="11"/>
      <c r="I46" s="10" t="s">
        <v>468</v>
      </c>
      <c r="J46" s="10" t="str">
        <f t="shared" si="2"/>
        <v>EntrySignal3_RGB</v>
      </c>
      <c r="K46" s="9" t="s">
        <v>369</v>
      </c>
      <c r="L46" s="29"/>
    </row>
    <row r="47" spans="1:12" x14ac:dyDescent="0.25">
      <c r="A47" s="7"/>
      <c r="B47" s="7"/>
      <c r="C47" s="43" t="s">
        <v>368</v>
      </c>
      <c r="D47" s="7">
        <v>3</v>
      </c>
      <c r="E47" s="7">
        <v>0</v>
      </c>
      <c r="F47" s="11">
        <v>0</v>
      </c>
      <c r="G47" s="11">
        <v>0</v>
      </c>
      <c r="H47" s="11">
        <v>3</v>
      </c>
      <c r="I47" s="10" t="s">
        <v>469</v>
      </c>
      <c r="J47" s="10" t="str">
        <f t="shared" si="2"/>
        <v>EntrySignal3</v>
      </c>
      <c r="K47" s="9" t="s">
        <v>370</v>
      </c>
      <c r="L47" s="29"/>
    </row>
    <row r="48" spans="1:12" x14ac:dyDescent="0.25">
      <c r="A48" s="7"/>
      <c r="B48" s="7"/>
      <c r="C48" s="43" t="s">
        <v>326</v>
      </c>
      <c r="D48" s="7">
        <v>4</v>
      </c>
      <c r="E48" s="7">
        <v>0</v>
      </c>
      <c r="F48" s="11">
        <v>0</v>
      </c>
      <c r="G48" s="11">
        <v>0</v>
      </c>
      <c r="H48" s="11"/>
      <c r="I48" s="10" t="s">
        <v>470</v>
      </c>
      <c r="J48" s="10" t="str">
        <f t="shared" si="2"/>
        <v>DepSignal4_RGB</v>
      </c>
      <c r="K48" s="9" t="s">
        <v>371</v>
      </c>
      <c r="L48" s="29"/>
    </row>
    <row r="49" spans="1:12" x14ac:dyDescent="0.25">
      <c r="A49" s="7"/>
      <c r="B49" s="7"/>
      <c r="C49" s="43" t="s">
        <v>283</v>
      </c>
      <c r="D49" s="7">
        <v>4</v>
      </c>
      <c r="E49" s="7">
        <v>0</v>
      </c>
      <c r="F49" s="11">
        <v>0</v>
      </c>
      <c r="G49" s="11">
        <v>0</v>
      </c>
      <c r="H49" s="11">
        <v>6</v>
      </c>
      <c r="I49" s="10" t="s">
        <v>471</v>
      </c>
      <c r="J49" s="10" t="str">
        <f t="shared" si="2"/>
        <v>DepSignal4</v>
      </c>
      <c r="K49" s="9" t="s">
        <v>372</v>
      </c>
      <c r="L49" s="29"/>
    </row>
    <row r="50" spans="1:12" x14ac:dyDescent="0.25">
      <c r="A50" s="7"/>
      <c r="B50" s="7"/>
      <c r="C50" s="43" t="s">
        <v>323</v>
      </c>
      <c r="D50" s="7">
        <v>2</v>
      </c>
      <c r="E50" s="7">
        <v>0</v>
      </c>
      <c r="F50" s="11">
        <v>0</v>
      </c>
      <c r="G50" s="11">
        <v>0</v>
      </c>
      <c r="H50" s="11"/>
      <c r="I50" s="10" t="s">
        <v>472</v>
      </c>
      <c r="J50" s="10" t="str">
        <f t="shared" ref="J50:J53" si="3">IF(I50&lt;&gt;"",LEFT(I50,FIND("(",I50)-1),"")</f>
        <v>EntrySignal3Bin_RGB</v>
      </c>
      <c r="K50" s="9" t="s">
        <v>476</v>
      </c>
      <c r="L50" s="29"/>
    </row>
    <row r="51" spans="1:12" x14ac:dyDescent="0.25">
      <c r="A51" s="7"/>
      <c r="B51" s="7"/>
      <c r="C51" s="43" t="s">
        <v>368</v>
      </c>
      <c r="D51" s="7">
        <v>2</v>
      </c>
      <c r="E51" s="7">
        <v>0</v>
      </c>
      <c r="F51" s="11">
        <v>0</v>
      </c>
      <c r="G51" s="11">
        <v>0</v>
      </c>
      <c r="H51" s="11">
        <v>3</v>
      </c>
      <c r="I51" s="10" t="s">
        <v>473</v>
      </c>
      <c r="J51" s="10" t="str">
        <f t="shared" si="3"/>
        <v>EntrySignal3Bin</v>
      </c>
      <c r="K51" s="9" t="s">
        <v>477</v>
      </c>
      <c r="L51" s="29"/>
    </row>
    <row r="52" spans="1:12" x14ac:dyDescent="0.25">
      <c r="A52" s="7"/>
      <c r="B52" s="7"/>
      <c r="C52" s="43" t="s">
        <v>326</v>
      </c>
      <c r="D52" s="7">
        <v>2</v>
      </c>
      <c r="E52" s="7">
        <v>0</v>
      </c>
      <c r="F52" s="11">
        <v>0</v>
      </c>
      <c r="G52" s="11">
        <v>0</v>
      </c>
      <c r="H52" s="11"/>
      <c r="I52" s="10" t="s">
        <v>474</v>
      </c>
      <c r="J52" s="10" t="str">
        <f t="shared" si="3"/>
        <v>DepSignal4Bin_RGB</v>
      </c>
      <c r="K52" s="9" t="s">
        <v>478</v>
      </c>
      <c r="L52" s="29"/>
    </row>
    <row r="53" spans="1:12" x14ac:dyDescent="0.25">
      <c r="A53" s="7"/>
      <c r="B53" s="7"/>
      <c r="C53" s="43" t="s">
        <v>283</v>
      </c>
      <c r="D53" s="7">
        <v>2</v>
      </c>
      <c r="E53" s="7">
        <v>0</v>
      </c>
      <c r="F53" s="11">
        <v>0</v>
      </c>
      <c r="G53" s="11">
        <v>0</v>
      </c>
      <c r="H53" s="11">
        <v>6</v>
      </c>
      <c r="I53" s="10" t="s">
        <v>475</v>
      </c>
      <c r="J53" s="10" t="str">
        <f t="shared" si="3"/>
        <v>DepSignal4Bin</v>
      </c>
      <c r="K53" s="9" t="s">
        <v>479</v>
      </c>
      <c r="L53" s="29"/>
    </row>
    <row r="54" spans="1:12" x14ac:dyDescent="0.25">
      <c r="A54" s="7"/>
      <c r="B54" s="11"/>
      <c r="C54" s="42"/>
      <c r="D54" s="7"/>
      <c r="E54" s="7"/>
      <c r="F54" s="7"/>
      <c r="G54" s="11"/>
      <c r="H54" s="11"/>
      <c r="I54" s="6"/>
      <c r="J54" s="10" t="str">
        <f t="shared" si="1"/>
        <v/>
      </c>
      <c r="K54" s="4"/>
      <c r="L54" s="4"/>
    </row>
    <row r="55" spans="1:12" x14ac:dyDescent="0.25">
      <c r="A55" s="7"/>
      <c r="B55" s="11" t="s">
        <v>122</v>
      </c>
      <c r="C55" s="42">
        <v>0</v>
      </c>
      <c r="D55" s="7">
        <v>1</v>
      </c>
      <c r="E55" s="7">
        <v>1</v>
      </c>
      <c r="F55" s="7">
        <v>0</v>
      </c>
      <c r="G55" s="11">
        <v>0</v>
      </c>
      <c r="H55" s="11"/>
      <c r="I55" s="10" t="s">
        <v>19</v>
      </c>
      <c r="J55" s="10" t="str">
        <f t="shared" si="1"/>
        <v>ButtonFunc</v>
      </c>
      <c r="K55" s="4"/>
      <c r="L55" s="4"/>
    </row>
    <row r="56" spans="1:12" x14ac:dyDescent="0.25">
      <c r="A56" s="7"/>
      <c r="C56" s="42"/>
      <c r="D56" s="7"/>
      <c r="E56" s="7"/>
      <c r="F56" s="7"/>
      <c r="G56" s="11"/>
      <c r="H56" s="11"/>
      <c r="I56" s="10"/>
      <c r="J56" s="10" t="str">
        <f t="shared" si="1"/>
        <v/>
      </c>
      <c r="K56" s="4"/>
      <c r="L56" s="4"/>
    </row>
    <row r="57" spans="1:12" x14ac:dyDescent="0.25">
      <c r="A57" s="7"/>
      <c r="B57" s="11" t="s">
        <v>122</v>
      </c>
      <c r="C57" s="42">
        <v>0</v>
      </c>
      <c r="D57" s="7">
        <v>1</v>
      </c>
      <c r="E57" s="7">
        <v>1</v>
      </c>
      <c r="F57" s="7">
        <v>0</v>
      </c>
      <c r="G57" s="11">
        <v>0</v>
      </c>
      <c r="H57" s="11"/>
      <c r="I57" s="10" t="s">
        <v>169</v>
      </c>
      <c r="J57" s="10" t="str">
        <f t="shared" si="1"/>
        <v>MonoFlop</v>
      </c>
      <c r="K57" s="4"/>
      <c r="L57" s="4"/>
    </row>
    <row r="58" spans="1:12" x14ac:dyDescent="0.25">
      <c r="A58" s="7"/>
      <c r="B58" s="11" t="s">
        <v>122</v>
      </c>
      <c r="C58" s="42">
        <v>0</v>
      </c>
      <c r="D58" s="7">
        <v>1</v>
      </c>
      <c r="E58" s="7">
        <v>1</v>
      </c>
      <c r="F58" s="7">
        <v>0</v>
      </c>
      <c r="G58" s="11">
        <v>0</v>
      </c>
      <c r="H58" s="11"/>
      <c r="I58" s="10" t="s">
        <v>170</v>
      </c>
      <c r="J58" s="10" t="str">
        <f t="shared" si="1"/>
        <v>MonoFlopLongReset</v>
      </c>
      <c r="K58" s="4"/>
      <c r="L58" s="4"/>
    </row>
    <row r="59" spans="1:12" x14ac:dyDescent="0.25">
      <c r="A59" s="7"/>
      <c r="B59" s="11" t="s">
        <v>122</v>
      </c>
      <c r="C59" s="42">
        <v>0</v>
      </c>
      <c r="D59" s="7">
        <v>2</v>
      </c>
      <c r="E59" s="7">
        <v>1</v>
      </c>
      <c r="F59" s="7">
        <v>0</v>
      </c>
      <c r="G59" s="11">
        <v>0</v>
      </c>
      <c r="H59" s="11"/>
      <c r="I59" s="10" t="s">
        <v>171</v>
      </c>
      <c r="J59" s="10" t="str">
        <f t="shared" si="1"/>
        <v>RS_FlipFlop</v>
      </c>
      <c r="K59" s="4"/>
      <c r="L59" s="4"/>
    </row>
    <row r="60" spans="1:12" x14ac:dyDescent="0.25">
      <c r="A60" s="7"/>
      <c r="B60" s="11" t="s">
        <v>122</v>
      </c>
      <c r="C60" s="42">
        <v>0</v>
      </c>
      <c r="D60" s="7">
        <v>2</v>
      </c>
      <c r="E60" s="7">
        <v>1</v>
      </c>
      <c r="F60" s="7">
        <v>0</v>
      </c>
      <c r="G60" s="11">
        <v>0</v>
      </c>
      <c r="H60" s="11"/>
      <c r="I60" s="10" t="s">
        <v>20</v>
      </c>
      <c r="J60" s="10" t="str">
        <f t="shared" si="1"/>
        <v>RS_FlipFlopTimeout</v>
      </c>
      <c r="K60" s="4"/>
      <c r="L60" s="4"/>
    </row>
    <row r="61" spans="1:12" x14ac:dyDescent="0.25">
      <c r="A61" s="7"/>
      <c r="B61" s="11" t="s">
        <v>122</v>
      </c>
      <c r="C61" s="42">
        <v>0</v>
      </c>
      <c r="D61" s="7">
        <v>2</v>
      </c>
      <c r="E61" s="7">
        <v>1</v>
      </c>
      <c r="F61" s="7">
        <v>0</v>
      </c>
      <c r="G61" s="11">
        <v>0</v>
      </c>
      <c r="H61" s="11"/>
      <c r="I61" s="10" t="s">
        <v>172</v>
      </c>
      <c r="J61" s="10" t="str">
        <f t="shared" si="1"/>
        <v>T_FlipFlopReset</v>
      </c>
      <c r="K61" s="4"/>
      <c r="L61" s="4"/>
    </row>
    <row r="62" spans="1:12" x14ac:dyDescent="0.25">
      <c r="A62" s="7"/>
      <c r="B62" s="11" t="s">
        <v>122</v>
      </c>
      <c r="C62" s="42">
        <v>0</v>
      </c>
      <c r="D62" s="7">
        <v>2</v>
      </c>
      <c r="E62" s="7">
        <v>1</v>
      </c>
      <c r="F62" s="7">
        <v>0</v>
      </c>
      <c r="G62" s="11">
        <v>0</v>
      </c>
      <c r="H62" s="11"/>
      <c r="I62" s="10" t="s">
        <v>21</v>
      </c>
      <c r="J62" s="10" t="str">
        <f t="shared" si="1"/>
        <v>T_FlipFlopResetTimeout</v>
      </c>
      <c r="K62" s="4"/>
      <c r="L62" s="4"/>
    </row>
    <row r="63" spans="1:12" x14ac:dyDescent="0.25">
      <c r="A63" s="7"/>
      <c r="B63" s="11" t="s">
        <v>122</v>
      </c>
      <c r="C63" s="42"/>
      <c r="D63" s="7"/>
      <c r="E63" s="7"/>
      <c r="F63" s="7"/>
      <c r="G63" s="11"/>
      <c r="H63" s="11"/>
      <c r="I63" s="10"/>
      <c r="J63" s="10" t="str">
        <f t="shared" si="1"/>
        <v/>
      </c>
      <c r="K63" s="4"/>
      <c r="L63" s="4"/>
    </row>
    <row r="64" spans="1:12" x14ac:dyDescent="0.25">
      <c r="A64" s="7"/>
      <c r="B64" s="11" t="s">
        <v>122</v>
      </c>
      <c r="C64" s="42">
        <v>0</v>
      </c>
      <c r="D64" s="7">
        <v>1</v>
      </c>
      <c r="E64" s="7">
        <v>1</v>
      </c>
      <c r="F64" s="7">
        <v>0</v>
      </c>
      <c r="G64" s="11">
        <v>0</v>
      </c>
      <c r="H64" s="11"/>
      <c r="I64" s="10" t="s">
        <v>173</v>
      </c>
      <c r="J64" s="10" t="str">
        <f t="shared" si="1"/>
        <v>MonoFlopInv</v>
      </c>
      <c r="K64" s="4"/>
      <c r="L64" s="4"/>
    </row>
    <row r="65" spans="1:12" x14ac:dyDescent="0.25">
      <c r="A65" s="7"/>
      <c r="B65" s="11" t="s">
        <v>122</v>
      </c>
      <c r="C65" s="42">
        <v>0</v>
      </c>
      <c r="D65" s="7">
        <v>1</v>
      </c>
      <c r="E65" s="7">
        <v>1</v>
      </c>
      <c r="F65" s="7">
        <v>0</v>
      </c>
      <c r="G65" s="11">
        <v>0</v>
      </c>
      <c r="H65" s="11"/>
      <c r="I65" s="10" t="s">
        <v>174</v>
      </c>
      <c r="J65" s="10" t="str">
        <f t="shared" si="1"/>
        <v>MonoFlopInvLongReset</v>
      </c>
      <c r="K65" s="4"/>
      <c r="L65" s="4"/>
    </row>
    <row r="66" spans="1:12" x14ac:dyDescent="0.25">
      <c r="A66" s="7"/>
      <c r="B66" s="11" t="s">
        <v>122</v>
      </c>
      <c r="C66" s="42">
        <v>0</v>
      </c>
      <c r="D66" s="7">
        <v>2</v>
      </c>
      <c r="E66" s="7">
        <v>1</v>
      </c>
      <c r="F66" s="7">
        <v>0</v>
      </c>
      <c r="G66" s="11">
        <v>0</v>
      </c>
      <c r="H66" s="11"/>
      <c r="I66" s="10" t="s">
        <v>175</v>
      </c>
      <c r="J66" s="10" t="str">
        <f t="shared" si="1"/>
        <v>RS_FlipFlopInv</v>
      </c>
      <c r="K66" s="4"/>
      <c r="L66" s="4"/>
    </row>
    <row r="67" spans="1:12" x14ac:dyDescent="0.25">
      <c r="A67" s="7"/>
      <c r="B67" s="11" t="s">
        <v>122</v>
      </c>
      <c r="C67" s="42">
        <v>0</v>
      </c>
      <c r="D67" s="7">
        <v>2</v>
      </c>
      <c r="E67" s="7">
        <v>1</v>
      </c>
      <c r="F67" s="7">
        <v>0</v>
      </c>
      <c r="G67" s="11">
        <v>0</v>
      </c>
      <c r="H67" s="11"/>
      <c r="I67" s="10" t="s">
        <v>22</v>
      </c>
      <c r="J67" s="10" t="str">
        <f t="shared" si="1"/>
        <v>RS_FlipFlopInvTimeout</v>
      </c>
      <c r="K67" s="4"/>
      <c r="L67" s="4"/>
    </row>
    <row r="68" spans="1:12" x14ac:dyDescent="0.25">
      <c r="A68" s="7"/>
      <c r="B68" s="11" t="s">
        <v>122</v>
      </c>
      <c r="C68" s="42">
        <v>0</v>
      </c>
      <c r="D68" s="7">
        <v>2</v>
      </c>
      <c r="E68" s="7">
        <v>1</v>
      </c>
      <c r="F68" s="7">
        <v>0</v>
      </c>
      <c r="G68" s="11">
        <v>0</v>
      </c>
      <c r="H68" s="11"/>
      <c r="I68" s="10" t="s">
        <v>176</v>
      </c>
      <c r="J68" s="10" t="str">
        <f t="shared" si="1"/>
        <v>T_FlipFlopInvReset</v>
      </c>
      <c r="K68" s="4"/>
      <c r="L68" s="4"/>
    </row>
    <row r="69" spans="1:12" x14ac:dyDescent="0.25">
      <c r="A69" s="7"/>
      <c r="B69" s="11" t="s">
        <v>122</v>
      </c>
      <c r="C69" s="42">
        <v>0</v>
      </c>
      <c r="D69" s="7">
        <v>2</v>
      </c>
      <c r="E69" s="7">
        <v>1</v>
      </c>
      <c r="F69" s="7">
        <v>0</v>
      </c>
      <c r="G69" s="11">
        <v>0</v>
      </c>
      <c r="H69" s="11"/>
      <c r="I69" s="10" t="s">
        <v>23</v>
      </c>
      <c r="J69" s="10" t="str">
        <f t="shared" si="1"/>
        <v>T_FlipFlopInvResetTimeout</v>
      </c>
      <c r="K69" s="4"/>
      <c r="L69" s="4"/>
    </row>
    <row r="70" spans="1:12" x14ac:dyDescent="0.25">
      <c r="A70" s="7"/>
      <c r="B70" s="11" t="s">
        <v>122</v>
      </c>
      <c r="C70" s="42"/>
      <c r="D70" s="7"/>
      <c r="E70" s="7"/>
      <c r="F70" s="7"/>
      <c r="G70" s="11"/>
      <c r="H70" s="11"/>
      <c r="I70" s="10"/>
      <c r="J70" s="10" t="str">
        <f t="shared" si="1"/>
        <v/>
      </c>
      <c r="K70" s="4"/>
      <c r="L70" s="4"/>
    </row>
    <row r="71" spans="1:12" x14ac:dyDescent="0.25">
      <c r="A71" s="7"/>
      <c r="B71" s="11" t="s">
        <v>122</v>
      </c>
      <c r="C71" s="42">
        <v>0</v>
      </c>
      <c r="D71" s="7">
        <v>1</v>
      </c>
      <c r="E71" s="11">
        <v>2</v>
      </c>
      <c r="F71" s="7">
        <v>0</v>
      </c>
      <c r="G71" s="11">
        <v>0</v>
      </c>
      <c r="H71" s="11"/>
      <c r="I71" s="10" t="s">
        <v>177</v>
      </c>
      <c r="J71" s="10" t="str">
        <f t="shared" si="1"/>
        <v>MonoFlop2</v>
      </c>
      <c r="K71" s="4"/>
      <c r="L71" s="4"/>
    </row>
    <row r="72" spans="1:12" x14ac:dyDescent="0.25">
      <c r="A72" s="7"/>
      <c r="B72" s="11" t="s">
        <v>122</v>
      </c>
      <c r="C72" s="42">
        <v>0</v>
      </c>
      <c r="D72" s="7">
        <v>1</v>
      </c>
      <c r="E72" s="11">
        <v>2</v>
      </c>
      <c r="F72" s="7">
        <v>0</v>
      </c>
      <c r="G72" s="11">
        <v>0</v>
      </c>
      <c r="H72" s="11"/>
      <c r="I72" s="10" t="s">
        <v>178</v>
      </c>
      <c r="J72" s="10" t="str">
        <f t="shared" si="1"/>
        <v>MonoFlop2LongReset</v>
      </c>
      <c r="K72" s="4"/>
      <c r="L72" s="4"/>
    </row>
    <row r="73" spans="1:12" x14ac:dyDescent="0.25">
      <c r="A73" s="7"/>
      <c r="B73" s="11" t="s">
        <v>122</v>
      </c>
      <c r="C73" s="42">
        <v>0</v>
      </c>
      <c r="D73" s="7">
        <v>2</v>
      </c>
      <c r="E73" s="7">
        <v>2</v>
      </c>
      <c r="F73" s="7">
        <v>0</v>
      </c>
      <c r="G73" s="11">
        <v>0</v>
      </c>
      <c r="H73" s="11"/>
      <c r="I73" s="10" t="s">
        <v>179</v>
      </c>
      <c r="J73" s="10" t="str">
        <f t="shared" si="1"/>
        <v>RS_FlipFlop2</v>
      </c>
      <c r="K73" s="4"/>
      <c r="L73" s="4"/>
    </row>
    <row r="74" spans="1:12" x14ac:dyDescent="0.25">
      <c r="A74" s="7"/>
      <c r="B74" s="11" t="s">
        <v>122</v>
      </c>
      <c r="C74" s="42">
        <v>0</v>
      </c>
      <c r="D74" s="7">
        <v>2</v>
      </c>
      <c r="E74" s="7">
        <v>2</v>
      </c>
      <c r="F74" s="7">
        <v>0</v>
      </c>
      <c r="G74" s="11">
        <v>0</v>
      </c>
      <c r="H74" s="11"/>
      <c r="I74" s="10" t="s">
        <v>24</v>
      </c>
      <c r="J74" s="10" t="str">
        <f t="shared" si="1"/>
        <v>RS_FlipFlop2Timeout</v>
      </c>
      <c r="K74" s="4"/>
      <c r="L74" s="4"/>
    </row>
    <row r="75" spans="1:12" x14ac:dyDescent="0.25">
      <c r="A75" s="7"/>
      <c r="B75" s="11" t="s">
        <v>122</v>
      </c>
      <c r="C75" s="42">
        <v>0</v>
      </c>
      <c r="D75" s="7">
        <v>2</v>
      </c>
      <c r="E75" s="7">
        <v>2</v>
      </c>
      <c r="F75" s="7">
        <v>0</v>
      </c>
      <c r="G75" s="11">
        <v>0</v>
      </c>
      <c r="H75" s="11"/>
      <c r="I75" s="10" t="s">
        <v>180</v>
      </c>
      <c r="J75" s="10" t="str">
        <f t="shared" si="1"/>
        <v>T_FlipFlop2Reset</v>
      </c>
      <c r="K75" s="4"/>
      <c r="L75" s="4"/>
    </row>
    <row r="76" spans="1:12" x14ac:dyDescent="0.25">
      <c r="A76" s="7"/>
      <c r="B76" s="11" t="s">
        <v>122</v>
      </c>
      <c r="C76" s="42">
        <v>0</v>
      </c>
      <c r="D76" s="7">
        <v>2</v>
      </c>
      <c r="E76" s="7">
        <v>2</v>
      </c>
      <c r="F76" s="7">
        <v>0</v>
      </c>
      <c r="G76" s="11">
        <v>0</v>
      </c>
      <c r="H76" s="11"/>
      <c r="I76" s="10" t="s">
        <v>25</v>
      </c>
      <c r="J76" s="10" t="str">
        <f t="shared" si="1"/>
        <v>T_FlipFlop2ResetTimeout</v>
      </c>
      <c r="K76" s="4"/>
      <c r="L76" s="4"/>
    </row>
    <row r="77" spans="1:12" x14ac:dyDescent="0.25">
      <c r="A77" s="7"/>
      <c r="B77" s="11" t="s">
        <v>122</v>
      </c>
      <c r="C77" s="42"/>
      <c r="D77" s="7"/>
      <c r="E77" s="7"/>
      <c r="F77" s="7"/>
      <c r="G77" s="11"/>
      <c r="H77" s="11"/>
      <c r="I77" s="10"/>
      <c r="J77" s="10" t="str">
        <f t="shared" si="1"/>
        <v/>
      </c>
      <c r="K77" s="4"/>
      <c r="L77" s="4"/>
    </row>
    <row r="78" spans="1:12" x14ac:dyDescent="0.25">
      <c r="A78" s="7"/>
      <c r="B78" s="7"/>
      <c r="C78" s="42">
        <v>1</v>
      </c>
      <c r="D78" s="7">
        <v>0</v>
      </c>
      <c r="E78" s="7">
        <v>0</v>
      </c>
      <c r="F78" s="7">
        <v>0</v>
      </c>
      <c r="G78" s="11">
        <v>0</v>
      </c>
      <c r="H78" s="11"/>
      <c r="I78" s="10" t="s">
        <v>26</v>
      </c>
      <c r="J78" s="10" t="str">
        <f t="shared" si="1"/>
        <v>RGB_Heartbeat</v>
      </c>
      <c r="K78" s="5" t="s">
        <v>120</v>
      </c>
      <c r="L78" s="4"/>
    </row>
    <row r="79" spans="1:12" x14ac:dyDescent="0.25">
      <c r="A79" s="7"/>
      <c r="B79" s="7"/>
      <c r="C79" s="42">
        <v>1</v>
      </c>
      <c r="D79" s="7">
        <v>0</v>
      </c>
      <c r="E79" s="7">
        <v>0</v>
      </c>
      <c r="F79" s="7">
        <v>0</v>
      </c>
      <c r="G79" s="11">
        <v>0</v>
      </c>
      <c r="H79" s="11"/>
      <c r="I79" s="10" t="s">
        <v>27</v>
      </c>
      <c r="J79" s="10" t="str">
        <f t="shared" si="1"/>
        <v>RGB_Heartbeat2</v>
      </c>
      <c r="K79" s="5" t="s">
        <v>121</v>
      </c>
      <c r="L79" s="4"/>
    </row>
    <row r="80" spans="1:12" x14ac:dyDescent="0.25">
      <c r="A80" s="7"/>
      <c r="B80" s="11" t="s">
        <v>122</v>
      </c>
      <c r="C80" s="42"/>
      <c r="D80" s="7"/>
      <c r="E80" s="7"/>
      <c r="F80" s="7"/>
      <c r="G80" s="7"/>
      <c r="H80" s="7"/>
      <c r="I80" s="10"/>
      <c r="J80" s="10" t="str">
        <f t="shared" ref="J80:J84" si="4">IF(I80&lt;&gt;"",LEFT(I80,FIND("(",I80)-1),"")</f>
        <v/>
      </c>
      <c r="K80" s="4"/>
      <c r="L80" s="4"/>
    </row>
    <row r="81" spans="1:12" x14ac:dyDescent="0.25">
      <c r="A81" s="7"/>
      <c r="B81" s="11" t="s">
        <v>122</v>
      </c>
      <c r="C81" s="43" t="s">
        <v>78</v>
      </c>
      <c r="D81" s="11">
        <v>0</v>
      </c>
      <c r="E81" s="11">
        <v>0</v>
      </c>
      <c r="F81" s="11">
        <v>0</v>
      </c>
      <c r="G81" s="7">
        <v>1</v>
      </c>
      <c r="H81" s="11">
        <v>1</v>
      </c>
      <c r="I81" s="39" t="s">
        <v>28</v>
      </c>
      <c r="J81" s="10" t="str">
        <f t="shared" si="4"/>
        <v>Status_Button_0_2</v>
      </c>
      <c r="K81" s="4"/>
      <c r="L81" s="5" t="s">
        <v>32</v>
      </c>
    </row>
    <row r="82" spans="1:12" x14ac:dyDescent="0.25">
      <c r="A82" s="7"/>
      <c r="B82" s="11" t="s">
        <v>122</v>
      </c>
      <c r="C82" s="43" t="s">
        <v>78</v>
      </c>
      <c r="D82" s="11">
        <v>0</v>
      </c>
      <c r="E82" s="11">
        <v>0</v>
      </c>
      <c r="F82" s="11">
        <v>0</v>
      </c>
      <c r="G82" s="7">
        <v>1</v>
      </c>
      <c r="H82" s="11">
        <v>1</v>
      </c>
      <c r="I82" s="39" t="s">
        <v>29</v>
      </c>
      <c r="J82" s="10" t="str">
        <f t="shared" si="4"/>
        <v>Status_Button_0_3</v>
      </c>
      <c r="K82" s="4"/>
      <c r="L82" s="4"/>
    </row>
    <row r="83" spans="1:12" x14ac:dyDescent="0.25">
      <c r="A83" s="7"/>
      <c r="B83" s="11" t="s">
        <v>122</v>
      </c>
      <c r="C83" s="43" t="s">
        <v>78</v>
      </c>
      <c r="D83" s="11">
        <v>0</v>
      </c>
      <c r="E83" s="11">
        <v>0</v>
      </c>
      <c r="F83" s="11">
        <v>0</v>
      </c>
      <c r="G83" s="7">
        <v>1</v>
      </c>
      <c r="H83" s="11">
        <v>1</v>
      </c>
      <c r="I83" s="39" t="s">
        <v>30</v>
      </c>
      <c r="J83" s="10" t="str">
        <f t="shared" si="4"/>
        <v>Status_Button_0_4</v>
      </c>
      <c r="K83" s="4"/>
      <c r="L83" s="4"/>
    </row>
    <row r="84" spans="1:12" x14ac:dyDescent="0.25">
      <c r="A84" s="7"/>
      <c r="B84" s="11" t="s">
        <v>122</v>
      </c>
      <c r="C84" s="43" t="s">
        <v>78</v>
      </c>
      <c r="D84" s="11">
        <v>0</v>
      </c>
      <c r="E84" s="11">
        <v>0</v>
      </c>
      <c r="F84" s="11">
        <v>0</v>
      </c>
      <c r="G84" s="7">
        <v>1</v>
      </c>
      <c r="H84" s="11">
        <v>1</v>
      </c>
      <c r="I84" s="39" t="s">
        <v>31</v>
      </c>
      <c r="J84" s="10" t="str">
        <f t="shared" si="4"/>
        <v>Status_Button_0_5</v>
      </c>
      <c r="K84" s="4"/>
      <c r="L84" s="4"/>
    </row>
    <row r="85" spans="1:12" x14ac:dyDescent="0.25">
      <c r="A85" s="7"/>
      <c r="B85" s="11"/>
      <c r="C85" s="42"/>
      <c r="D85" s="7"/>
      <c r="E85" s="7"/>
      <c r="F85" s="7"/>
      <c r="G85" s="7"/>
      <c r="H85" s="7"/>
      <c r="I85" s="10"/>
      <c r="J85" s="10"/>
      <c r="K85" s="4"/>
      <c r="L85" s="4"/>
    </row>
    <row r="86" spans="1:12" x14ac:dyDescent="0.25">
      <c r="A86" s="7"/>
      <c r="B86" s="11" t="s">
        <v>122</v>
      </c>
      <c r="C86" s="43" t="s">
        <v>78</v>
      </c>
      <c r="D86" s="7">
        <v>1</v>
      </c>
      <c r="E86" s="7">
        <v>0</v>
      </c>
      <c r="F86" s="11">
        <v>3</v>
      </c>
      <c r="G86" s="7">
        <v>1</v>
      </c>
      <c r="H86" s="11">
        <v>1</v>
      </c>
      <c r="I86" s="39" t="s">
        <v>265</v>
      </c>
      <c r="J86" s="10" t="str">
        <f t="shared" ref="J86:J135" si="5">IF(I86&lt;&gt;"",LEFT(I86,FIND("(",I86)-1),"")</f>
        <v>PushButton_w_LED_0_2</v>
      </c>
      <c r="K86" s="4"/>
      <c r="L86" s="5" t="s">
        <v>33</v>
      </c>
    </row>
    <row r="87" spans="1:12" x14ac:dyDescent="0.25">
      <c r="A87" s="7"/>
      <c r="B87" s="11" t="s">
        <v>122</v>
      </c>
      <c r="C87" s="43" t="s">
        <v>78</v>
      </c>
      <c r="D87" s="7">
        <v>1</v>
      </c>
      <c r="E87" s="7">
        <v>0</v>
      </c>
      <c r="F87" s="11">
        <v>4</v>
      </c>
      <c r="G87" s="7">
        <v>1</v>
      </c>
      <c r="H87" s="11">
        <v>1</v>
      </c>
      <c r="I87" s="39" t="s">
        <v>266</v>
      </c>
      <c r="J87" s="10" t="str">
        <f t="shared" si="5"/>
        <v>PushButton_w_LED_0_3</v>
      </c>
      <c r="K87" s="4"/>
      <c r="L87" s="4"/>
    </row>
    <row r="88" spans="1:12" x14ac:dyDescent="0.25">
      <c r="A88" s="7"/>
      <c r="B88" s="11" t="s">
        <v>122</v>
      </c>
      <c r="C88" s="43" t="s">
        <v>78</v>
      </c>
      <c r="D88" s="7">
        <v>1</v>
      </c>
      <c r="E88" s="7">
        <v>0</v>
      </c>
      <c r="F88" s="11">
        <v>5</v>
      </c>
      <c r="G88" s="7">
        <v>1</v>
      </c>
      <c r="H88" s="11">
        <v>1</v>
      </c>
      <c r="I88" s="39" t="s">
        <v>267</v>
      </c>
      <c r="J88" s="10" t="str">
        <f t="shared" si="5"/>
        <v>PushButton_w_LED_0_4</v>
      </c>
      <c r="K88" s="4"/>
      <c r="L88" s="4"/>
    </row>
    <row r="89" spans="1:12" x14ac:dyDescent="0.25">
      <c r="A89" s="7"/>
      <c r="B89" s="11" t="s">
        <v>122</v>
      </c>
      <c r="C89" s="43" t="s">
        <v>78</v>
      </c>
      <c r="D89" s="7">
        <v>1</v>
      </c>
      <c r="E89" s="7">
        <v>0</v>
      </c>
      <c r="F89" s="11">
        <v>6</v>
      </c>
      <c r="G89" s="7">
        <v>1</v>
      </c>
      <c r="H89" s="11">
        <v>1</v>
      </c>
      <c r="I89" s="39" t="s">
        <v>268</v>
      </c>
      <c r="J89" s="10" t="str">
        <f t="shared" si="5"/>
        <v>PushButton_w_LED_0_5</v>
      </c>
      <c r="K89" s="4"/>
      <c r="L89" s="4"/>
    </row>
    <row r="90" spans="1:12" x14ac:dyDescent="0.25">
      <c r="A90" s="7"/>
      <c r="B90" s="11" t="s">
        <v>122</v>
      </c>
      <c r="C90" s="42"/>
      <c r="D90" s="7"/>
      <c r="E90" s="7"/>
      <c r="F90" s="7"/>
      <c r="G90" s="7"/>
      <c r="H90" s="7"/>
      <c r="I90" s="10"/>
      <c r="J90" s="10"/>
      <c r="K90" s="4"/>
      <c r="L90" s="4"/>
    </row>
    <row r="91" spans="1:12" x14ac:dyDescent="0.25">
      <c r="A91" s="148"/>
      <c r="B91" s="146"/>
      <c r="C91" s="172"/>
      <c r="D91" s="148"/>
      <c r="E91" s="148"/>
      <c r="F91" s="148"/>
      <c r="G91" s="148"/>
      <c r="H91" s="148"/>
      <c r="I91" s="173"/>
      <c r="J91" s="173"/>
      <c r="K91" s="174" t="s">
        <v>522</v>
      </c>
      <c r="L91" s="171"/>
    </row>
    <row r="92" spans="1:12" x14ac:dyDescent="0.25">
      <c r="A92" s="7"/>
      <c r="B92" s="7"/>
      <c r="C92" s="43" t="s">
        <v>284</v>
      </c>
      <c r="D92" s="7">
        <v>1</v>
      </c>
      <c r="E92" s="7">
        <v>0</v>
      </c>
      <c r="F92" s="7">
        <v>0</v>
      </c>
      <c r="G92" s="7">
        <v>0</v>
      </c>
      <c r="H92" s="7">
        <v>2</v>
      </c>
      <c r="I92" s="10" t="s">
        <v>34</v>
      </c>
      <c r="J92" s="10" t="str">
        <f t="shared" si="5"/>
        <v>Sound_Prev</v>
      </c>
      <c r="K92" s="5" t="s">
        <v>497</v>
      </c>
      <c r="L92" s="4"/>
    </row>
    <row r="93" spans="1:12" x14ac:dyDescent="0.25">
      <c r="A93" s="7"/>
      <c r="B93" s="7"/>
      <c r="C93" s="43" t="s">
        <v>284</v>
      </c>
      <c r="D93" s="7">
        <v>1</v>
      </c>
      <c r="E93" s="7">
        <v>0</v>
      </c>
      <c r="F93" s="7">
        <v>0</v>
      </c>
      <c r="G93" s="7">
        <v>0</v>
      </c>
      <c r="H93" s="7">
        <v>2</v>
      </c>
      <c r="I93" s="10" t="s">
        <v>35</v>
      </c>
      <c r="J93" s="10" t="str">
        <f t="shared" si="5"/>
        <v>Sound_Next</v>
      </c>
      <c r="K93" s="5" t="s">
        <v>498</v>
      </c>
      <c r="L93" s="4"/>
    </row>
    <row r="94" spans="1:12" x14ac:dyDescent="0.25">
      <c r="A94" s="7"/>
      <c r="B94" s="7"/>
      <c r="C94" s="43" t="s">
        <v>284</v>
      </c>
      <c r="D94" s="7">
        <v>1</v>
      </c>
      <c r="E94" s="7">
        <v>0</v>
      </c>
      <c r="F94" s="7">
        <v>0</v>
      </c>
      <c r="G94" s="7">
        <v>0</v>
      </c>
      <c r="H94" s="7">
        <v>2</v>
      </c>
      <c r="I94" s="10" t="s">
        <v>36</v>
      </c>
      <c r="J94" s="10" t="str">
        <f t="shared" si="5"/>
        <v>Sound_PausePlay</v>
      </c>
      <c r="K94" s="5" t="s">
        <v>499</v>
      </c>
      <c r="L94" s="4"/>
    </row>
    <row r="95" spans="1:12" x14ac:dyDescent="0.25">
      <c r="A95" s="7"/>
      <c r="B95" s="7"/>
      <c r="C95" s="43" t="s">
        <v>284</v>
      </c>
      <c r="D95" s="7">
        <v>1</v>
      </c>
      <c r="E95" s="7">
        <v>0</v>
      </c>
      <c r="F95" s="7">
        <v>0</v>
      </c>
      <c r="G95" s="7">
        <v>0</v>
      </c>
      <c r="H95" s="7">
        <v>2</v>
      </c>
      <c r="I95" s="10" t="s">
        <v>37</v>
      </c>
      <c r="J95" s="10" t="str">
        <f t="shared" si="5"/>
        <v>Sound_Loop</v>
      </c>
      <c r="K95" s="5" t="s">
        <v>500</v>
      </c>
      <c r="L95" s="4"/>
    </row>
    <row r="96" spans="1:12" x14ac:dyDescent="0.25">
      <c r="A96" s="7"/>
      <c r="B96" s="7"/>
      <c r="C96" s="43" t="s">
        <v>284</v>
      </c>
      <c r="D96" s="7">
        <v>1</v>
      </c>
      <c r="E96" s="7">
        <v>0</v>
      </c>
      <c r="F96" s="7">
        <v>0</v>
      </c>
      <c r="G96" s="7">
        <v>0</v>
      </c>
      <c r="H96" s="7">
        <v>2</v>
      </c>
      <c r="I96" s="10" t="s">
        <v>38</v>
      </c>
      <c r="J96" s="10" t="str">
        <f t="shared" si="5"/>
        <v>Sound_USDSPI</v>
      </c>
      <c r="K96" s="5" t="s">
        <v>501</v>
      </c>
      <c r="L96" s="4"/>
    </row>
    <row r="97" spans="1:12" x14ac:dyDescent="0.25">
      <c r="A97" s="7"/>
      <c r="B97" s="7"/>
      <c r="C97" s="43" t="s">
        <v>284</v>
      </c>
      <c r="D97" s="7">
        <v>1</v>
      </c>
      <c r="E97" s="7">
        <v>0</v>
      </c>
      <c r="F97" s="7">
        <v>0</v>
      </c>
      <c r="G97" s="7">
        <v>0</v>
      </c>
      <c r="H97" s="7">
        <v>2</v>
      </c>
      <c r="I97" s="10" t="s">
        <v>39</v>
      </c>
      <c r="J97" s="10" t="str">
        <f t="shared" si="5"/>
        <v>Sound_PlayMode</v>
      </c>
      <c r="K97" s="5" t="s">
        <v>502</v>
      </c>
      <c r="L97" s="4"/>
    </row>
    <row r="98" spans="1:12" x14ac:dyDescent="0.25">
      <c r="A98" s="7"/>
      <c r="B98" s="7"/>
      <c r="C98" s="43"/>
      <c r="D98" s="7"/>
      <c r="E98" s="7"/>
      <c r="F98" s="7"/>
      <c r="G98" s="7"/>
      <c r="H98" s="7"/>
      <c r="I98" s="10"/>
      <c r="J98" s="10"/>
      <c r="K98" s="4"/>
      <c r="L98" s="4"/>
    </row>
    <row r="99" spans="1:12" x14ac:dyDescent="0.25">
      <c r="A99" s="7"/>
      <c r="B99" s="7"/>
      <c r="C99" s="43" t="s">
        <v>284</v>
      </c>
      <c r="D99" s="7">
        <v>1</v>
      </c>
      <c r="E99" s="7">
        <v>0</v>
      </c>
      <c r="F99" s="7">
        <v>0</v>
      </c>
      <c r="G99" s="7">
        <v>0</v>
      </c>
      <c r="H99" s="7">
        <v>2</v>
      </c>
      <c r="I99" s="10" t="s">
        <v>40</v>
      </c>
      <c r="J99" s="10" t="str">
        <f t="shared" si="5"/>
        <v>Sound_DecVol</v>
      </c>
      <c r="K99" s="5" t="s">
        <v>503</v>
      </c>
      <c r="L99" s="4"/>
    </row>
    <row r="100" spans="1:12" x14ac:dyDescent="0.25">
      <c r="A100" s="7"/>
      <c r="B100" s="7"/>
      <c r="C100" s="43" t="s">
        <v>284</v>
      </c>
      <c r="D100" s="7">
        <v>1</v>
      </c>
      <c r="E100" s="7">
        <v>0</v>
      </c>
      <c r="F100" s="7">
        <v>0</v>
      </c>
      <c r="G100" s="7">
        <v>0</v>
      </c>
      <c r="H100" s="7">
        <v>2</v>
      </c>
      <c r="I100" s="10" t="s">
        <v>41</v>
      </c>
      <c r="J100" s="10" t="str">
        <f t="shared" si="5"/>
        <v>Sound_IncVol</v>
      </c>
      <c r="K100" s="5" t="s">
        <v>504</v>
      </c>
      <c r="L100" s="4"/>
    </row>
    <row r="101" spans="1:12" x14ac:dyDescent="0.25">
      <c r="A101" s="7"/>
      <c r="B101" s="7"/>
      <c r="C101" s="43"/>
      <c r="D101" s="7"/>
      <c r="E101" s="7"/>
      <c r="F101" s="7"/>
      <c r="G101" s="7"/>
      <c r="H101" s="7"/>
      <c r="I101" s="10"/>
      <c r="J101" s="10"/>
      <c r="K101" s="4"/>
      <c r="L101" s="4"/>
    </row>
    <row r="102" spans="1:12" x14ac:dyDescent="0.25">
      <c r="A102" s="7"/>
      <c r="B102" s="7"/>
      <c r="C102" s="43" t="s">
        <v>284</v>
      </c>
      <c r="D102" s="7">
        <v>1</v>
      </c>
      <c r="E102" s="7">
        <v>0</v>
      </c>
      <c r="F102" s="7">
        <v>0</v>
      </c>
      <c r="G102" s="7">
        <v>0</v>
      </c>
      <c r="H102" s="7">
        <v>2</v>
      </c>
      <c r="I102" s="10" t="s">
        <v>42</v>
      </c>
      <c r="J102" s="10" t="str">
        <f t="shared" si="5"/>
        <v>Sound_Seq1</v>
      </c>
      <c r="K102" s="5" t="s">
        <v>505</v>
      </c>
      <c r="L102" s="4"/>
    </row>
    <row r="103" spans="1:12" x14ac:dyDescent="0.25">
      <c r="A103" s="7"/>
      <c r="B103" s="7"/>
      <c r="C103" s="43" t="s">
        <v>284</v>
      </c>
      <c r="D103" s="7">
        <v>1</v>
      </c>
      <c r="E103" s="7">
        <v>0</v>
      </c>
      <c r="F103" s="7">
        <v>0</v>
      </c>
      <c r="G103" s="7">
        <v>0</v>
      </c>
      <c r="H103" s="7">
        <v>2</v>
      </c>
      <c r="I103" s="10" t="s">
        <v>43</v>
      </c>
      <c r="J103" s="10" t="str">
        <f t="shared" si="5"/>
        <v>Sound_Seq2</v>
      </c>
      <c r="K103" s="5" t="s">
        <v>506</v>
      </c>
      <c r="L103" s="4"/>
    </row>
    <row r="104" spans="1:12" x14ac:dyDescent="0.25">
      <c r="A104" s="7"/>
      <c r="B104" s="7"/>
      <c r="C104" s="43" t="s">
        <v>284</v>
      </c>
      <c r="D104" s="7">
        <v>1</v>
      </c>
      <c r="E104" s="7">
        <v>0</v>
      </c>
      <c r="F104" s="7">
        <v>0</v>
      </c>
      <c r="G104" s="7">
        <v>0</v>
      </c>
      <c r="H104" s="7">
        <v>2</v>
      </c>
      <c r="I104" s="10" t="s">
        <v>44</v>
      </c>
      <c r="J104" s="10" t="str">
        <f t="shared" si="5"/>
        <v>Sound_Seq3</v>
      </c>
      <c r="K104" s="5" t="s">
        <v>507</v>
      </c>
      <c r="L104" s="4"/>
    </row>
    <row r="105" spans="1:12" x14ac:dyDescent="0.25">
      <c r="A105" s="7"/>
      <c r="B105" s="7"/>
      <c r="C105" s="43" t="s">
        <v>284</v>
      </c>
      <c r="D105" s="7">
        <v>1</v>
      </c>
      <c r="E105" s="7">
        <v>0</v>
      </c>
      <c r="F105" s="7">
        <v>0</v>
      </c>
      <c r="G105" s="7">
        <v>0</v>
      </c>
      <c r="H105" s="7">
        <v>2</v>
      </c>
      <c r="I105" s="10" t="s">
        <v>45</v>
      </c>
      <c r="J105" s="10" t="str">
        <f t="shared" si="5"/>
        <v>Sound_Seq4</v>
      </c>
      <c r="K105" s="5" t="s">
        <v>508</v>
      </c>
      <c r="L105" s="4"/>
    </row>
    <row r="106" spans="1:12" x14ac:dyDescent="0.25">
      <c r="A106" s="7"/>
      <c r="B106" s="7"/>
      <c r="C106" s="43" t="s">
        <v>284</v>
      </c>
      <c r="D106" s="7">
        <v>1</v>
      </c>
      <c r="E106" s="7">
        <v>0</v>
      </c>
      <c r="F106" s="7">
        <v>0</v>
      </c>
      <c r="G106" s="7">
        <v>0</v>
      </c>
      <c r="H106" s="7">
        <v>2</v>
      </c>
      <c r="I106" s="10" t="s">
        <v>46</v>
      </c>
      <c r="J106" s="10" t="str">
        <f t="shared" si="5"/>
        <v>Sound_Seq5</v>
      </c>
      <c r="K106" s="5" t="s">
        <v>509</v>
      </c>
      <c r="L106" s="4"/>
    </row>
    <row r="107" spans="1:12" x14ac:dyDescent="0.25">
      <c r="A107" s="7"/>
      <c r="B107" s="7"/>
      <c r="C107" s="43" t="s">
        <v>284</v>
      </c>
      <c r="D107" s="7">
        <v>1</v>
      </c>
      <c r="E107" s="7">
        <v>0</v>
      </c>
      <c r="F107" s="7">
        <v>0</v>
      </c>
      <c r="G107" s="7">
        <v>0</v>
      </c>
      <c r="H107" s="7">
        <v>2</v>
      </c>
      <c r="I107" s="10" t="s">
        <v>47</v>
      </c>
      <c r="J107" s="10" t="str">
        <f t="shared" si="5"/>
        <v>Sound_Seq6</v>
      </c>
      <c r="K107" s="5" t="s">
        <v>510</v>
      </c>
      <c r="L107" s="4"/>
    </row>
    <row r="108" spans="1:12" x14ac:dyDescent="0.25">
      <c r="A108" s="7"/>
      <c r="B108" s="7"/>
      <c r="C108" s="43" t="s">
        <v>284</v>
      </c>
      <c r="D108" s="7">
        <v>1</v>
      </c>
      <c r="E108" s="7">
        <v>0</v>
      </c>
      <c r="F108" s="7">
        <v>0</v>
      </c>
      <c r="G108" s="7">
        <v>0</v>
      </c>
      <c r="H108" s="7">
        <v>2</v>
      </c>
      <c r="I108" s="10" t="s">
        <v>48</v>
      </c>
      <c r="J108" s="10" t="str">
        <f t="shared" si="5"/>
        <v>Sound_Seq7</v>
      </c>
      <c r="K108" s="5" t="s">
        <v>511</v>
      </c>
      <c r="L108" s="4"/>
    </row>
    <row r="109" spans="1:12" x14ac:dyDescent="0.25">
      <c r="A109" s="7"/>
      <c r="B109" s="7"/>
      <c r="C109" s="43" t="s">
        <v>284</v>
      </c>
      <c r="D109" s="7">
        <v>1</v>
      </c>
      <c r="E109" s="7">
        <v>0</v>
      </c>
      <c r="F109" s="7">
        <v>0</v>
      </c>
      <c r="G109" s="7">
        <v>0</v>
      </c>
      <c r="H109" s="7">
        <v>2</v>
      </c>
      <c r="I109" s="10" t="s">
        <v>49</v>
      </c>
      <c r="J109" s="10" t="str">
        <f t="shared" si="5"/>
        <v>Sound_Seq8</v>
      </c>
      <c r="K109" s="5" t="s">
        <v>512</v>
      </c>
      <c r="L109" s="4"/>
    </row>
    <row r="110" spans="1:12" x14ac:dyDescent="0.25">
      <c r="A110" s="7"/>
      <c r="B110" s="7"/>
      <c r="C110" s="43" t="s">
        <v>284</v>
      </c>
      <c r="D110" s="7">
        <v>1</v>
      </c>
      <c r="E110" s="7">
        <v>0</v>
      </c>
      <c r="F110" s="7">
        <v>0</v>
      </c>
      <c r="G110" s="7">
        <v>0</v>
      </c>
      <c r="H110" s="7">
        <v>2</v>
      </c>
      <c r="I110" s="10" t="s">
        <v>50</v>
      </c>
      <c r="J110" s="10" t="str">
        <f t="shared" si="5"/>
        <v>Sound_Seq9</v>
      </c>
      <c r="K110" s="5" t="s">
        <v>513</v>
      </c>
      <c r="L110" s="4"/>
    </row>
    <row r="111" spans="1:12" x14ac:dyDescent="0.25">
      <c r="A111" s="7"/>
      <c r="B111" s="7"/>
      <c r="C111" s="43" t="s">
        <v>284</v>
      </c>
      <c r="D111" s="7">
        <v>1</v>
      </c>
      <c r="E111" s="7">
        <v>0</v>
      </c>
      <c r="F111" s="7">
        <v>0</v>
      </c>
      <c r="G111" s="7">
        <v>0</v>
      </c>
      <c r="H111" s="7">
        <v>2</v>
      </c>
      <c r="I111" s="10" t="s">
        <v>51</v>
      </c>
      <c r="J111" s="10" t="str">
        <f t="shared" si="5"/>
        <v>Sound_Seq10</v>
      </c>
      <c r="K111" s="5" t="s">
        <v>514</v>
      </c>
      <c r="L111" s="4"/>
    </row>
    <row r="112" spans="1:12" x14ac:dyDescent="0.25">
      <c r="A112" s="7"/>
      <c r="B112" s="7"/>
      <c r="C112" s="43" t="s">
        <v>284</v>
      </c>
      <c r="D112" s="7">
        <v>1</v>
      </c>
      <c r="E112" s="7">
        <v>0</v>
      </c>
      <c r="F112" s="7">
        <v>0</v>
      </c>
      <c r="G112" s="7">
        <v>0</v>
      </c>
      <c r="H112" s="7">
        <v>2</v>
      </c>
      <c r="I112" s="10" t="s">
        <v>52</v>
      </c>
      <c r="J112" s="10" t="str">
        <f t="shared" si="5"/>
        <v>Sound_Seq11</v>
      </c>
      <c r="K112" s="5" t="s">
        <v>515</v>
      </c>
      <c r="L112" s="4"/>
    </row>
    <row r="113" spans="1:12" x14ac:dyDescent="0.25">
      <c r="A113" s="7"/>
      <c r="B113" s="7"/>
      <c r="C113" s="43" t="s">
        <v>284</v>
      </c>
      <c r="D113" s="7">
        <v>1</v>
      </c>
      <c r="E113" s="7">
        <v>0</v>
      </c>
      <c r="F113" s="7">
        <v>0</v>
      </c>
      <c r="G113" s="7">
        <v>0</v>
      </c>
      <c r="H113" s="7">
        <v>2</v>
      </c>
      <c r="I113" s="10" t="s">
        <v>53</v>
      </c>
      <c r="J113" s="10" t="str">
        <f t="shared" si="5"/>
        <v>Sound_Seq12</v>
      </c>
      <c r="K113" s="5" t="s">
        <v>516</v>
      </c>
      <c r="L113" s="4"/>
    </row>
    <row r="114" spans="1:12" x14ac:dyDescent="0.25">
      <c r="A114" s="7"/>
      <c r="B114" s="7"/>
      <c r="C114" s="43" t="s">
        <v>284</v>
      </c>
      <c r="D114" s="7">
        <v>1</v>
      </c>
      <c r="E114" s="7">
        <v>0</v>
      </c>
      <c r="F114" s="7">
        <v>0</v>
      </c>
      <c r="G114" s="7">
        <v>0</v>
      </c>
      <c r="H114" s="7">
        <v>2</v>
      </c>
      <c r="I114" s="10" t="s">
        <v>54</v>
      </c>
      <c r="J114" s="10" t="str">
        <f t="shared" si="5"/>
        <v>Sound_Seq13</v>
      </c>
      <c r="K114" s="5" t="s">
        <v>517</v>
      </c>
      <c r="L114" s="4"/>
    </row>
    <row r="115" spans="1:12" x14ac:dyDescent="0.25">
      <c r="A115" s="7"/>
      <c r="B115" s="7"/>
      <c r="C115" s="43" t="s">
        <v>284</v>
      </c>
      <c r="D115" s="7">
        <v>1</v>
      </c>
      <c r="E115" s="7">
        <v>0</v>
      </c>
      <c r="F115" s="7">
        <v>0</v>
      </c>
      <c r="G115" s="7">
        <v>0</v>
      </c>
      <c r="H115" s="7">
        <v>2</v>
      </c>
      <c r="I115" s="10" t="s">
        <v>55</v>
      </c>
      <c r="J115" s="10" t="str">
        <f t="shared" si="5"/>
        <v>Sound_Seq14</v>
      </c>
      <c r="K115" s="5" t="s">
        <v>518</v>
      </c>
      <c r="L115" s="4"/>
    </row>
    <row r="116" spans="1:12" x14ac:dyDescent="0.25">
      <c r="A116" s="7"/>
      <c r="B116" s="7"/>
      <c r="C116" s="43"/>
      <c r="D116" s="7"/>
      <c r="E116" s="7"/>
      <c r="F116" s="7"/>
      <c r="G116" s="7"/>
      <c r="H116" s="7"/>
      <c r="I116" s="10"/>
      <c r="J116" s="10"/>
      <c r="K116" s="4"/>
      <c r="L116" s="4"/>
    </row>
    <row r="117" spans="1:12" x14ac:dyDescent="0.25">
      <c r="A117" s="7"/>
      <c r="B117" s="7"/>
      <c r="C117" s="43" t="s">
        <v>284</v>
      </c>
      <c r="D117" s="7">
        <v>1</v>
      </c>
      <c r="E117" s="7">
        <v>0</v>
      </c>
      <c r="F117" s="7">
        <v>0</v>
      </c>
      <c r="G117" s="7">
        <v>0</v>
      </c>
      <c r="H117" s="7">
        <v>2</v>
      </c>
      <c r="I117" s="10" t="s">
        <v>56</v>
      </c>
      <c r="J117" s="10" t="str">
        <f t="shared" si="5"/>
        <v>Sound_PlayRandom</v>
      </c>
      <c r="K117" s="5" t="s">
        <v>519</v>
      </c>
      <c r="L117" s="4"/>
    </row>
    <row r="118" spans="1:12" x14ac:dyDescent="0.25">
      <c r="A118" s="7"/>
      <c r="B118" s="7"/>
      <c r="C118" s="43" t="s">
        <v>284</v>
      </c>
      <c r="D118" s="7">
        <v>2</v>
      </c>
      <c r="E118" s="7">
        <v>0</v>
      </c>
      <c r="F118" s="7">
        <v>0</v>
      </c>
      <c r="G118" s="7">
        <v>0</v>
      </c>
      <c r="H118" s="7">
        <v>2</v>
      </c>
      <c r="I118" s="10" t="s">
        <v>57</v>
      </c>
      <c r="J118" s="10" t="str">
        <f t="shared" si="5"/>
        <v>Sound_Next_of_N_Reset</v>
      </c>
      <c r="K118" s="5" t="s">
        <v>520</v>
      </c>
      <c r="L118" s="4"/>
    </row>
    <row r="119" spans="1:12" x14ac:dyDescent="0.25">
      <c r="A119" s="7"/>
      <c r="B119" s="7"/>
      <c r="C119" s="43" t="s">
        <v>284</v>
      </c>
      <c r="D119" s="7">
        <v>1</v>
      </c>
      <c r="E119" s="7">
        <v>0</v>
      </c>
      <c r="F119" s="7">
        <v>0</v>
      </c>
      <c r="G119" s="7">
        <v>0</v>
      </c>
      <c r="H119" s="7">
        <v>2</v>
      </c>
      <c r="I119" s="10" t="s">
        <v>58</v>
      </c>
      <c r="J119" s="10" t="str">
        <f t="shared" si="5"/>
        <v>Sound_Next_of_N</v>
      </c>
      <c r="K119" s="5" t="s">
        <v>520</v>
      </c>
      <c r="L119" s="4"/>
    </row>
    <row r="120" spans="1:12" x14ac:dyDescent="0.25">
      <c r="A120" s="7"/>
      <c r="B120" s="7"/>
      <c r="C120" s="43"/>
      <c r="D120" s="7"/>
      <c r="E120" s="7"/>
      <c r="F120" s="7"/>
      <c r="G120" s="7"/>
      <c r="H120" s="7"/>
      <c r="I120" s="10"/>
      <c r="J120" s="10"/>
      <c r="K120" s="4"/>
      <c r="L120" s="4"/>
    </row>
    <row r="121" spans="1:12" x14ac:dyDescent="0.25">
      <c r="A121" s="148"/>
      <c r="B121" s="148"/>
      <c r="C121" s="175"/>
      <c r="D121" s="148"/>
      <c r="E121" s="148"/>
      <c r="F121" s="148"/>
      <c r="G121" s="148"/>
      <c r="H121" s="148"/>
      <c r="I121" s="173"/>
      <c r="J121" s="173"/>
      <c r="K121" s="174" t="s">
        <v>521</v>
      </c>
      <c r="L121" s="171"/>
    </row>
    <row r="122" spans="1:12" x14ac:dyDescent="0.25">
      <c r="A122" s="7"/>
      <c r="B122" s="7"/>
      <c r="C122" s="43" t="s">
        <v>286</v>
      </c>
      <c r="D122" s="7">
        <v>1</v>
      </c>
      <c r="E122" s="7">
        <v>0</v>
      </c>
      <c r="F122" s="7">
        <v>0</v>
      </c>
      <c r="G122" s="7">
        <v>0</v>
      </c>
      <c r="H122" s="7">
        <v>1</v>
      </c>
      <c r="I122" s="10" t="s">
        <v>59</v>
      </c>
      <c r="J122" s="10" t="str">
        <f t="shared" si="5"/>
        <v>Sound_JQ6500_Prev</v>
      </c>
      <c r="K122" s="5" t="s">
        <v>497</v>
      </c>
      <c r="L122" s="5"/>
    </row>
    <row r="123" spans="1:12" x14ac:dyDescent="0.25">
      <c r="A123" s="7"/>
      <c r="B123" s="7"/>
      <c r="C123" s="43" t="s">
        <v>286</v>
      </c>
      <c r="D123" s="7">
        <v>1</v>
      </c>
      <c r="E123" s="7">
        <v>0</v>
      </c>
      <c r="F123" s="7">
        <v>0</v>
      </c>
      <c r="G123" s="7">
        <v>0</v>
      </c>
      <c r="H123" s="7">
        <v>1</v>
      </c>
      <c r="I123" s="10" t="s">
        <v>60</v>
      </c>
      <c r="J123" s="10" t="str">
        <f t="shared" si="5"/>
        <v>Sound_JQ6500_Next</v>
      </c>
      <c r="K123" s="5" t="s">
        <v>498</v>
      </c>
      <c r="L123" s="4"/>
    </row>
    <row r="124" spans="1:12" x14ac:dyDescent="0.25">
      <c r="A124" s="7"/>
      <c r="B124" s="7"/>
      <c r="C124" s="43" t="s">
        <v>286</v>
      </c>
      <c r="D124" s="7">
        <v>1</v>
      </c>
      <c r="E124" s="7">
        <v>0</v>
      </c>
      <c r="F124" s="7">
        <v>0</v>
      </c>
      <c r="G124" s="7">
        <v>0</v>
      </c>
      <c r="H124" s="7">
        <v>1</v>
      </c>
      <c r="I124" s="10" t="s">
        <v>61</v>
      </c>
      <c r="J124" s="10" t="str">
        <f t="shared" si="5"/>
        <v>Sound_JQ6500_DecVol</v>
      </c>
      <c r="K124" s="5" t="s">
        <v>503</v>
      </c>
      <c r="L124" s="4"/>
    </row>
    <row r="125" spans="1:12" x14ac:dyDescent="0.25">
      <c r="A125" s="7"/>
      <c r="B125" s="7"/>
      <c r="C125" s="43" t="s">
        <v>286</v>
      </c>
      <c r="D125" s="7">
        <v>1</v>
      </c>
      <c r="E125" s="7">
        <v>0</v>
      </c>
      <c r="F125" s="7">
        <v>0</v>
      </c>
      <c r="G125" s="7">
        <v>0</v>
      </c>
      <c r="H125" s="7">
        <v>1</v>
      </c>
      <c r="I125" s="10" t="s">
        <v>62</v>
      </c>
      <c r="J125" s="10" t="str">
        <f t="shared" si="5"/>
        <v>Sound_JQ6500_IncVol</v>
      </c>
      <c r="K125" s="5" t="s">
        <v>504</v>
      </c>
      <c r="L125" s="4"/>
    </row>
    <row r="126" spans="1:12" x14ac:dyDescent="0.25">
      <c r="A126" s="7"/>
      <c r="B126" s="7"/>
      <c r="C126" s="43"/>
      <c r="D126" s="7"/>
      <c r="E126" s="7"/>
      <c r="F126" s="7"/>
      <c r="G126" s="7"/>
      <c r="H126" s="7"/>
      <c r="I126" s="10"/>
      <c r="J126" s="10"/>
      <c r="K126" s="4"/>
      <c r="L126" s="4"/>
    </row>
    <row r="127" spans="1:12" x14ac:dyDescent="0.25">
      <c r="A127" s="7"/>
      <c r="B127" s="7"/>
      <c r="C127" s="43" t="s">
        <v>286</v>
      </c>
      <c r="D127" s="7">
        <v>1</v>
      </c>
      <c r="E127" s="7">
        <v>0</v>
      </c>
      <c r="F127" s="7">
        <v>0</v>
      </c>
      <c r="G127" s="7">
        <v>0</v>
      </c>
      <c r="H127" s="7">
        <v>1</v>
      </c>
      <c r="I127" s="10" t="s">
        <v>63</v>
      </c>
      <c r="J127" s="10" t="str">
        <f t="shared" si="5"/>
        <v>Sound_JQ6500_Seq1</v>
      </c>
      <c r="K127" s="5" t="s">
        <v>505</v>
      </c>
      <c r="L127" s="4"/>
    </row>
    <row r="128" spans="1:12" x14ac:dyDescent="0.25">
      <c r="A128" s="7"/>
      <c r="B128" s="7"/>
      <c r="C128" s="43" t="s">
        <v>286</v>
      </c>
      <c r="D128" s="7">
        <v>1</v>
      </c>
      <c r="E128" s="7">
        <v>0</v>
      </c>
      <c r="F128" s="7">
        <v>0</v>
      </c>
      <c r="G128" s="7">
        <v>0</v>
      </c>
      <c r="H128" s="7">
        <v>1</v>
      </c>
      <c r="I128" s="10" t="s">
        <v>64</v>
      </c>
      <c r="J128" s="10" t="str">
        <f t="shared" si="5"/>
        <v>Sound_JQ6500_Seq2</v>
      </c>
      <c r="K128" s="5" t="s">
        <v>506</v>
      </c>
      <c r="L128" s="4"/>
    </row>
    <row r="129" spans="1:12" x14ac:dyDescent="0.25">
      <c r="A129" s="7"/>
      <c r="B129" s="7"/>
      <c r="C129" s="43" t="s">
        <v>286</v>
      </c>
      <c r="D129" s="7">
        <v>1</v>
      </c>
      <c r="E129" s="7">
        <v>0</v>
      </c>
      <c r="F129" s="7">
        <v>0</v>
      </c>
      <c r="G129" s="7">
        <v>0</v>
      </c>
      <c r="H129" s="7">
        <v>1</v>
      </c>
      <c r="I129" s="10" t="s">
        <v>65</v>
      </c>
      <c r="J129" s="10" t="str">
        <f t="shared" si="5"/>
        <v>Sound_JQ6500_Seq3</v>
      </c>
      <c r="K129" s="5" t="s">
        <v>507</v>
      </c>
      <c r="L129" s="4"/>
    </row>
    <row r="130" spans="1:12" x14ac:dyDescent="0.25">
      <c r="A130" s="7"/>
      <c r="B130" s="7"/>
      <c r="C130" s="43" t="s">
        <v>286</v>
      </c>
      <c r="D130" s="7">
        <v>1</v>
      </c>
      <c r="E130" s="7">
        <v>0</v>
      </c>
      <c r="F130" s="7">
        <v>0</v>
      </c>
      <c r="G130" s="7">
        <v>0</v>
      </c>
      <c r="H130" s="7">
        <v>1</v>
      </c>
      <c r="I130" s="10" t="s">
        <v>66</v>
      </c>
      <c r="J130" s="10" t="str">
        <f t="shared" si="5"/>
        <v>Sound_JQ6500_Seq4</v>
      </c>
      <c r="K130" s="5" t="s">
        <v>508</v>
      </c>
      <c r="L130" s="4"/>
    </row>
    <row r="131" spans="1:12" x14ac:dyDescent="0.25">
      <c r="A131" s="7"/>
      <c r="B131" s="7"/>
      <c r="C131" s="43" t="s">
        <v>286</v>
      </c>
      <c r="D131" s="7">
        <v>1</v>
      </c>
      <c r="E131" s="7">
        <v>0</v>
      </c>
      <c r="F131" s="7">
        <v>0</v>
      </c>
      <c r="G131" s="7">
        <v>0</v>
      </c>
      <c r="H131" s="7">
        <v>1</v>
      </c>
      <c r="I131" s="10" t="s">
        <v>67</v>
      </c>
      <c r="J131" s="10" t="str">
        <f t="shared" si="5"/>
        <v>Sound_JQ6500_Seq5</v>
      </c>
      <c r="K131" s="5" t="s">
        <v>509</v>
      </c>
      <c r="L131" s="4"/>
    </row>
    <row r="132" spans="1:12" x14ac:dyDescent="0.25">
      <c r="A132" s="7"/>
      <c r="B132" s="7"/>
      <c r="C132" s="43"/>
      <c r="D132" s="7"/>
      <c r="E132" s="7"/>
      <c r="F132" s="7"/>
      <c r="G132" s="7"/>
      <c r="H132" s="7"/>
      <c r="I132" s="10"/>
      <c r="J132" s="10"/>
      <c r="K132" s="4"/>
      <c r="L132" s="4"/>
    </row>
    <row r="133" spans="1:12" x14ac:dyDescent="0.25">
      <c r="A133" s="7"/>
      <c r="B133" s="7"/>
      <c r="C133" s="43" t="s">
        <v>286</v>
      </c>
      <c r="D133" s="7">
        <v>1</v>
      </c>
      <c r="E133" s="7">
        <v>0</v>
      </c>
      <c r="F133" s="7">
        <v>0</v>
      </c>
      <c r="G133" s="7">
        <v>0</v>
      </c>
      <c r="H133" s="7">
        <v>1</v>
      </c>
      <c r="I133" s="10" t="s">
        <v>68</v>
      </c>
      <c r="J133" s="10" t="str">
        <f t="shared" si="5"/>
        <v>Sound_JQ6500_PlayRandom</v>
      </c>
      <c r="K133" s="5" t="s">
        <v>519</v>
      </c>
      <c r="L133" s="4"/>
    </row>
    <row r="134" spans="1:12" x14ac:dyDescent="0.25">
      <c r="A134" s="7"/>
      <c r="B134" s="7"/>
      <c r="C134" s="43" t="s">
        <v>286</v>
      </c>
      <c r="D134" s="7">
        <v>2</v>
      </c>
      <c r="E134" s="7">
        <v>0</v>
      </c>
      <c r="F134" s="7">
        <v>0</v>
      </c>
      <c r="G134" s="7">
        <v>0</v>
      </c>
      <c r="H134" s="7">
        <v>1</v>
      </c>
      <c r="I134" s="10" t="s">
        <v>69</v>
      </c>
      <c r="J134" s="10" t="str">
        <f t="shared" si="5"/>
        <v>Sound_JQ6500_Next_of_N_Reset</v>
      </c>
      <c r="K134" s="5" t="s">
        <v>520</v>
      </c>
      <c r="L134" s="4"/>
    </row>
    <row r="135" spans="1:12" x14ac:dyDescent="0.25">
      <c r="A135" s="7"/>
      <c r="B135" s="7"/>
      <c r="C135" s="43" t="s">
        <v>286</v>
      </c>
      <c r="D135" s="7">
        <v>1</v>
      </c>
      <c r="E135" s="7">
        <v>0</v>
      </c>
      <c r="F135" s="7">
        <v>0</v>
      </c>
      <c r="G135" s="7">
        <v>0</v>
      </c>
      <c r="H135" s="7">
        <v>1</v>
      </c>
      <c r="I135" s="10" t="s">
        <v>70</v>
      </c>
      <c r="J135" s="10" t="str">
        <f t="shared" si="5"/>
        <v>Sound_JQ6500_Next_of_N</v>
      </c>
      <c r="K135" s="5" t="s">
        <v>520</v>
      </c>
      <c r="L135" s="4"/>
    </row>
    <row r="136" spans="1:12" x14ac:dyDescent="0.25">
      <c r="A136" s="148"/>
      <c r="B136" s="148"/>
      <c r="C136" s="175"/>
      <c r="D136" s="148"/>
      <c r="E136" s="148"/>
      <c r="F136" s="148"/>
      <c r="G136" s="148"/>
      <c r="H136" s="148"/>
      <c r="I136" s="173"/>
      <c r="J136" s="173"/>
      <c r="K136" s="171"/>
      <c r="L136" s="171"/>
    </row>
    <row r="137" spans="1:12" x14ac:dyDescent="0.25">
      <c r="A137" s="7"/>
      <c r="B137" s="7"/>
      <c r="C137" s="43"/>
      <c r="D137" s="7"/>
      <c r="E137" s="7"/>
      <c r="F137" s="7"/>
      <c r="G137" s="7"/>
      <c r="H137" s="7"/>
      <c r="I137" s="10"/>
      <c r="J137" s="10"/>
      <c r="K137" s="174" t="s">
        <v>523</v>
      </c>
      <c r="L137" s="5" t="s">
        <v>524</v>
      </c>
    </row>
    <row r="138" spans="1:12" x14ac:dyDescent="0.25">
      <c r="A138" s="7"/>
      <c r="B138" s="7"/>
      <c r="C138" s="43" t="s">
        <v>286</v>
      </c>
      <c r="D138" s="7">
        <v>1</v>
      </c>
      <c r="E138" s="7">
        <v>0</v>
      </c>
      <c r="F138" s="7">
        <v>0</v>
      </c>
      <c r="G138" s="7">
        <v>0</v>
      </c>
      <c r="H138" s="7">
        <v>1</v>
      </c>
      <c r="I138" s="10" t="s">
        <v>525</v>
      </c>
      <c r="J138" s="10" t="str">
        <f t="shared" ref="J138:J141" si="6">IF(I138&lt;&gt;"",LEFT(I138,FIND("(",I138)-1),"")</f>
        <v>Sound_JQ6500_BG_Prev</v>
      </c>
      <c r="K138" s="5" t="s">
        <v>497</v>
      </c>
      <c r="L138" s="5"/>
    </row>
    <row r="139" spans="1:12" x14ac:dyDescent="0.25">
      <c r="A139" s="7"/>
      <c r="B139" s="7"/>
      <c r="C139" s="43" t="s">
        <v>286</v>
      </c>
      <c r="D139" s="7">
        <v>1</v>
      </c>
      <c r="E139" s="7">
        <v>0</v>
      </c>
      <c r="F139" s="7">
        <v>0</v>
      </c>
      <c r="G139" s="7">
        <v>0</v>
      </c>
      <c r="H139" s="7">
        <v>1</v>
      </c>
      <c r="I139" s="10" t="s">
        <v>526</v>
      </c>
      <c r="J139" s="10" t="str">
        <f t="shared" si="6"/>
        <v>Sound_JQ6500_BG_Next</v>
      </c>
      <c r="K139" s="5" t="s">
        <v>498</v>
      </c>
      <c r="L139" s="4"/>
    </row>
    <row r="140" spans="1:12" x14ac:dyDescent="0.25">
      <c r="A140" s="7"/>
      <c r="B140" s="7"/>
      <c r="C140" s="43" t="s">
        <v>286</v>
      </c>
      <c r="D140" s="7">
        <v>1</v>
      </c>
      <c r="E140" s="7">
        <v>0</v>
      </c>
      <c r="F140" s="7">
        <v>0</v>
      </c>
      <c r="G140" s="7">
        <v>0</v>
      </c>
      <c r="H140" s="7">
        <v>1</v>
      </c>
      <c r="I140" s="10" t="s">
        <v>527</v>
      </c>
      <c r="J140" s="10" t="str">
        <f t="shared" si="6"/>
        <v>Sound_JQ6500_BG_DecVol</v>
      </c>
      <c r="K140" s="5" t="s">
        <v>503</v>
      </c>
      <c r="L140" s="4"/>
    </row>
    <row r="141" spans="1:12" x14ac:dyDescent="0.25">
      <c r="A141" s="7"/>
      <c r="B141" s="7"/>
      <c r="C141" s="43" t="s">
        <v>286</v>
      </c>
      <c r="D141" s="7">
        <v>1</v>
      </c>
      <c r="E141" s="7">
        <v>0</v>
      </c>
      <c r="F141" s="7">
        <v>0</v>
      </c>
      <c r="G141" s="7">
        <v>0</v>
      </c>
      <c r="H141" s="7">
        <v>1</v>
      </c>
      <c r="I141" s="10" t="s">
        <v>528</v>
      </c>
      <c r="J141" s="10" t="str">
        <f t="shared" si="6"/>
        <v>Sound_JQ6500_BG_IncVol</v>
      </c>
      <c r="K141" s="5" t="s">
        <v>504</v>
      </c>
      <c r="L141" s="4"/>
    </row>
    <row r="142" spans="1:12" x14ac:dyDescent="0.25">
      <c r="A142" s="7"/>
      <c r="B142" s="7"/>
      <c r="C142" s="43"/>
      <c r="D142" s="7"/>
      <c r="E142" s="7"/>
      <c r="F142" s="7"/>
      <c r="G142" s="7"/>
      <c r="H142" s="7"/>
      <c r="I142" s="10"/>
      <c r="J142" s="10"/>
      <c r="K142" s="4"/>
      <c r="L142" s="4"/>
    </row>
    <row r="143" spans="1:12" x14ac:dyDescent="0.25">
      <c r="A143" s="7"/>
      <c r="B143" s="7"/>
      <c r="C143" s="43" t="s">
        <v>286</v>
      </c>
      <c r="D143" s="7">
        <v>1</v>
      </c>
      <c r="E143" s="7">
        <v>0</v>
      </c>
      <c r="F143" s="7">
        <v>0</v>
      </c>
      <c r="G143" s="7">
        <v>0</v>
      </c>
      <c r="H143" s="7">
        <v>1</v>
      </c>
      <c r="I143" s="10" t="s">
        <v>282</v>
      </c>
      <c r="J143" s="10" t="str">
        <f t="shared" ref="J143:J147" si="7">IF(I143&lt;&gt;"",LEFT(I143,FIND("(",I143)-1),"")</f>
        <v>Sound_JQ6500_BG_Seq1</v>
      </c>
      <c r="K143" s="5" t="s">
        <v>505</v>
      </c>
      <c r="L143" s="4"/>
    </row>
    <row r="144" spans="1:12" x14ac:dyDescent="0.25">
      <c r="A144" s="7"/>
      <c r="B144" s="7"/>
      <c r="C144" s="43" t="s">
        <v>286</v>
      </c>
      <c r="D144" s="7">
        <v>1</v>
      </c>
      <c r="E144" s="7">
        <v>0</v>
      </c>
      <c r="F144" s="7">
        <v>0</v>
      </c>
      <c r="G144" s="7">
        <v>0</v>
      </c>
      <c r="H144" s="7">
        <v>1</v>
      </c>
      <c r="I144" s="10" t="s">
        <v>275</v>
      </c>
      <c r="J144" s="10" t="str">
        <f t="shared" si="7"/>
        <v>Sound_JQ6500_BG_Seq2</v>
      </c>
      <c r="K144" s="5" t="s">
        <v>506</v>
      </c>
      <c r="L144" s="4"/>
    </row>
    <row r="145" spans="1:12" x14ac:dyDescent="0.25">
      <c r="A145" s="7"/>
      <c r="B145" s="7"/>
      <c r="C145" s="43" t="s">
        <v>286</v>
      </c>
      <c r="D145" s="7">
        <v>1</v>
      </c>
      <c r="E145" s="7">
        <v>0</v>
      </c>
      <c r="F145" s="7">
        <v>0</v>
      </c>
      <c r="G145" s="7">
        <v>0</v>
      </c>
      <c r="H145" s="7">
        <v>1</v>
      </c>
      <c r="I145" s="10" t="s">
        <v>276</v>
      </c>
      <c r="J145" s="10" t="str">
        <f t="shared" si="7"/>
        <v>Sound_JQ6500_BG_Seq3</v>
      </c>
      <c r="K145" s="5" t="s">
        <v>507</v>
      </c>
      <c r="L145" s="4"/>
    </row>
    <row r="146" spans="1:12" x14ac:dyDescent="0.25">
      <c r="A146" s="7"/>
      <c r="B146" s="7"/>
      <c r="C146" s="43" t="s">
        <v>286</v>
      </c>
      <c r="D146" s="7">
        <v>1</v>
      </c>
      <c r="E146" s="7">
        <v>0</v>
      </c>
      <c r="F146" s="7">
        <v>0</v>
      </c>
      <c r="G146" s="7">
        <v>0</v>
      </c>
      <c r="H146" s="7">
        <v>1</v>
      </c>
      <c r="I146" s="10" t="s">
        <v>277</v>
      </c>
      <c r="J146" s="10" t="str">
        <f t="shared" si="7"/>
        <v>Sound_JQ6500_BG_Seq4</v>
      </c>
      <c r="K146" s="5" t="s">
        <v>508</v>
      </c>
      <c r="L146" s="4"/>
    </row>
    <row r="147" spans="1:12" x14ac:dyDescent="0.25">
      <c r="A147" s="7"/>
      <c r="B147" s="7"/>
      <c r="C147" s="43" t="s">
        <v>286</v>
      </c>
      <c r="D147" s="7">
        <v>1</v>
      </c>
      <c r="E147" s="7">
        <v>0</v>
      </c>
      <c r="F147" s="7">
        <v>0</v>
      </c>
      <c r="G147" s="7">
        <v>0</v>
      </c>
      <c r="H147" s="7">
        <v>1</v>
      </c>
      <c r="I147" s="10" t="s">
        <v>278</v>
      </c>
      <c r="J147" s="10" t="str">
        <f t="shared" si="7"/>
        <v>Sound_JQ6500_BG_Seq5</v>
      </c>
      <c r="K147" s="5" t="s">
        <v>509</v>
      </c>
      <c r="L147" s="4"/>
    </row>
    <row r="148" spans="1:12" x14ac:dyDescent="0.25">
      <c r="A148" s="7"/>
      <c r="B148" s="7"/>
      <c r="C148" s="43"/>
      <c r="D148" s="7"/>
      <c r="E148" s="7"/>
      <c r="F148" s="7"/>
      <c r="G148" s="7"/>
      <c r="H148" s="7"/>
      <c r="I148" s="10"/>
      <c r="J148" s="10"/>
      <c r="K148" s="4"/>
      <c r="L148" s="4"/>
    </row>
    <row r="149" spans="1:12" x14ac:dyDescent="0.25">
      <c r="A149" s="7"/>
      <c r="B149" s="7"/>
      <c r="C149" s="43" t="s">
        <v>286</v>
      </c>
      <c r="D149" s="7">
        <v>1</v>
      </c>
      <c r="E149" s="7">
        <v>0</v>
      </c>
      <c r="F149" s="7">
        <v>0</v>
      </c>
      <c r="G149" s="7">
        <v>0</v>
      </c>
      <c r="H149" s="7">
        <v>1</v>
      </c>
      <c r="I149" s="10" t="s">
        <v>279</v>
      </c>
      <c r="J149" s="10" t="str">
        <f t="shared" ref="J149:J151" si="8">IF(I149&lt;&gt;"",LEFT(I149,FIND("(",I149)-1),"")</f>
        <v>Sound_JQ6500_BG_PlayRandom</v>
      </c>
      <c r="K149" s="5" t="s">
        <v>519</v>
      </c>
      <c r="L149" s="4"/>
    </row>
    <row r="150" spans="1:12" x14ac:dyDescent="0.25">
      <c r="A150" s="7"/>
      <c r="B150" s="7"/>
      <c r="C150" s="43" t="s">
        <v>286</v>
      </c>
      <c r="D150" s="7">
        <v>2</v>
      </c>
      <c r="E150" s="7">
        <v>0</v>
      </c>
      <c r="F150" s="7">
        <v>0</v>
      </c>
      <c r="G150" s="7">
        <v>0</v>
      </c>
      <c r="H150" s="7">
        <v>1</v>
      </c>
      <c r="I150" s="10" t="s">
        <v>280</v>
      </c>
      <c r="J150" s="10" t="str">
        <f t="shared" si="8"/>
        <v>Sound_JQ6500_BG_Next_of_N_Reset</v>
      </c>
      <c r="K150" s="5" t="s">
        <v>520</v>
      </c>
      <c r="L150" s="4"/>
    </row>
    <row r="151" spans="1:12" x14ac:dyDescent="0.25">
      <c r="A151" s="7"/>
      <c r="B151" s="7"/>
      <c r="C151" s="43" t="s">
        <v>286</v>
      </c>
      <c r="D151" s="7">
        <v>1</v>
      </c>
      <c r="E151" s="7">
        <v>0</v>
      </c>
      <c r="F151" s="7">
        <v>0</v>
      </c>
      <c r="G151" s="7">
        <v>0</v>
      </c>
      <c r="H151" s="7">
        <v>1</v>
      </c>
      <c r="I151" s="10" t="s">
        <v>281</v>
      </c>
      <c r="J151" s="10" t="str">
        <f t="shared" si="8"/>
        <v>Sound_JQ6500_BG_Next_of_N</v>
      </c>
      <c r="K151" s="5" t="s">
        <v>520</v>
      </c>
      <c r="L151" s="4"/>
    </row>
    <row r="154" spans="1:12" x14ac:dyDescent="0.25">
      <c r="D154" s="73"/>
      <c r="E154" s="73"/>
      <c r="F154" s="73"/>
      <c r="G154" s="73"/>
      <c r="H154" s="73"/>
      <c r="I154" s="72"/>
    </row>
  </sheetData>
  <pageMargins left="0.7" right="0.7" top="0.78740157499999996" bottom="0.78740157499999996" header="0.3" footer="0.3"/>
  <pageSetup paperSize="9" orientation="portrait" r:id="rId1"/>
  <ignoredErrors>
    <ignoredError sqref="C52"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50"/>
  <sheetViews>
    <sheetView workbookViewId="0">
      <pane ySplit="1" topLeftCell="A2" activePane="bottomLeft" state="frozen"/>
      <selection pane="bottomLeft" activeCell="F12" sqref="F12"/>
    </sheetView>
  </sheetViews>
  <sheetFormatPr baseColWidth="10" defaultRowHeight="13.2" x14ac:dyDescent="0.25"/>
  <cols>
    <col min="2" max="2" width="5.88671875" customWidth="1"/>
    <col min="3" max="3" width="6.6640625" customWidth="1"/>
    <col min="4" max="4" width="5" customWidth="1"/>
    <col min="5" max="6" width="9.109375" customWidth="1"/>
    <col min="7" max="7" width="32.44140625" customWidth="1"/>
    <col min="8" max="8" width="45.33203125" customWidth="1"/>
    <col min="9" max="9" width="40" customWidth="1"/>
  </cols>
  <sheetData>
    <row r="1" spans="1:9" ht="31.2" customHeight="1" x14ac:dyDescent="0.25">
      <c r="A1" s="44" t="s">
        <v>142</v>
      </c>
      <c r="B1" s="44" t="s">
        <v>116</v>
      </c>
      <c r="C1" s="44" t="s">
        <v>123</v>
      </c>
      <c r="D1" s="44" t="s">
        <v>140</v>
      </c>
      <c r="E1" s="44" t="s">
        <v>141</v>
      </c>
      <c r="F1" s="44" t="s">
        <v>149</v>
      </c>
      <c r="G1" s="45" t="s">
        <v>145</v>
      </c>
      <c r="H1" s="45" t="s">
        <v>143</v>
      </c>
      <c r="I1" s="45" t="s">
        <v>139</v>
      </c>
    </row>
    <row r="2" spans="1:9" x14ac:dyDescent="0.25">
      <c r="A2" s="21" t="s">
        <v>76</v>
      </c>
      <c r="B2" s="1">
        <v>75</v>
      </c>
      <c r="C2" s="20" t="s">
        <v>124</v>
      </c>
      <c r="D2" s="20"/>
      <c r="E2" s="20"/>
      <c r="F2" s="20"/>
      <c r="G2" s="22"/>
      <c r="H2" s="22"/>
    </row>
    <row r="3" spans="1:9" x14ac:dyDescent="0.25">
      <c r="A3" s="21" t="s">
        <v>75</v>
      </c>
      <c r="B3" s="1">
        <v>67</v>
      </c>
      <c r="C3" s="20" t="s">
        <v>124</v>
      </c>
      <c r="D3" s="20"/>
      <c r="E3" s="20"/>
      <c r="F3" s="20"/>
      <c r="G3" s="22"/>
      <c r="H3" s="22"/>
    </row>
    <row r="4" spans="1:9" x14ac:dyDescent="0.25">
      <c r="A4" t="s">
        <v>89</v>
      </c>
      <c r="B4" s="1">
        <v>17</v>
      </c>
      <c r="C4" s="19"/>
      <c r="D4" s="19">
        <v>0</v>
      </c>
      <c r="E4" s="19">
        <v>255</v>
      </c>
      <c r="F4" s="19"/>
      <c r="G4" s="23" t="s">
        <v>155</v>
      </c>
      <c r="H4" s="23"/>
    </row>
    <row r="5" spans="1:9" x14ac:dyDescent="0.25">
      <c r="A5" t="s">
        <v>78</v>
      </c>
      <c r="B5" s="1">
        <v>13</v>
      </c>
      <c r="C5" s="19" t="s">
        <v>144</v>
      </c>
      <c r="D5" s="19"/>
      <c r="E5" s="19"/>
      <c r="F5" s="19"/>
      <c r="G5" s="22" t="s">
        <v>165</v>
      </c>
      <c r="H5" s="23"/>
    </row>
    <row r="6" spans="1:9" x14ac:dyDescent="0.25">
      <c r="A6" t="s">
        <v>107</v>
      </c>
      <c r="B6" s="1">
        <v>12</v>
      </c>
      <c r="C6" s="1"/>
      <c r="D6" s="1">
        <v>0</v>
      </c>
      <c r="E6" s="1">
        <v>250</v>
      </c>
      <c r="F6" s="1"/>
      <c r="G6" s="23" t="s">
        <v>164</v>
      </c>
      <c r="H6" s="24"/>
      <c r="I6" s="17" t="s">
        <v>117</v>
      </c>
    </row>
    <row r="7" spans="1:9" x14ac:dyDescent="0.25">
      <c r="A7" t="s">
        <v>85</v>
      </c>
      <c r="B7" s="1">
        <v>12</v>
      </c>
      <c r="C7" s="19" t="s">
        <v>144</v>
      </c>
      <c r="D7" s="19"/>
      <c r="E7" s="19"/>
      <c r="F7" s="19"/>
      <c r="G7" s="23" t="str">
        <f>G5</f>
        <v>=&gt; Dialog</v>
      </c>
      <c r="H7" s="23"/>
    </row>
    <row r="8" spans="1:9" x14ac:dyDescent="0.25">
      <c r="A8" t="s">
        <v>92</v>
      </c>
      <c r="B8" s="1">
        <v>11</v>
      </c>
      <c r="C8" s="19" t="s">
        <v>203</v>
      </c>
      <c r="D8" s="19">
        <v>1</v>
      </c>
      <c r="E8" s="19">
        <v>1048560</v>
      </c>
      <c r="F8" s="19" t="s">
        <v>161</v>
      </c>
      <c r="G8" s="23" t="s">
        <v>153</v>
      </c>
      <c r="H8" s="23" t="s">
        <v>152</v>
      </c>
      <c r="I8" s="17"/>
    </row>
    <row r="9" spans="1:9" x14ac:dyDescent="0.25">
      <c r="A9" s="17" t="s">
        <v>261</v>
      </c>
      <c r="B9" s="1">
        <v>10</v>
      </c>
      <c r="C9" s="19" t="s">
        <v>203</v>
      </c>
      <c r="D9" s="19">
        <v>1</v>
      </c>
      <c r="E9" s="19">
        <v>1048560</v>
      </c>
      <c r="F9" s="19" t="s">
        <v>264</v>
      </c>
      <c r="G9" s="23" t="s">
        <v>153</v>
      </c>
      <c r="H9" s="25" t="str">
        <f>$H$8</f>
        <v xml:space="preserve">Die Zeit wird in Millisekunden angegeben. Es können aber auch „Sec“ oder „Min“ angehängt werden. Die Maximale Zeit beträgt 17 Minuten (1048560 ms). </v>
      </c>
      <c r="I9" s="17"/>
    </row>
    <row r="10" spans="1:9" x14ac:dyDescent="0.25">
      <c r="A10" t="s">
        <v>83</v>
      </c>
      <c r="B10" s="1">
        <v>9</v>
      </c>
      <c r="C10" s="19"/>
      <c r="D10" s="19">
        <v>0</v>
      </c>
      <c r="E10" s="19">
        <v>255</v>
      </c>
      <c r="F10" s="19">
        <v>255</v>
      </c>
      <c r="G10" s="23" t="s">
        <v>253</v>
      </c>
      <c r="H10" s="23" t="s">
        <v>166</v>
      </c>
    </row>
    <row r="11" spans="1:9" x14ac:dyDescent="0.25">
      <c r="A11" t="s">
        <v>79</v>
      </c>
      <c r="B11" s="1">
        <v>9</v>
      </c>
      <c r="C11" s="19" t="s">
        <v>203</v>
      </c>
      <c r="D11" s="19">
        <v>1</v>
      </c>
      <c r="E11" s="19">
        <v>1048560</v>
      </c>
      <c r="F11" s="19" t="s">
        <v>157</v>
      </c>
      <c r="G11" s="23" t="s">
        <v>154</v>
      </c>
      <c r="H11" s="25" t="str">
        <f>$H$8</f>
        <v xml:space="preserve">Die Zeit wird in Millisekunden angegeben. Es können aber auch „Sec“ oder „Min“ angehängt werden. Die Maximale Zeit beträgt 17 Minuten (1048560 ms). </v>
      </c>
      <c r="I11" s="26"/>
    </row>
    <row r="12" spans="1:9" x14ac:dyDescent="0.25">
      <c r="A12" t="s">
        <v>93</v>
      </c>
      <c r="B12" s="1">
        <v>8</v>
      </c>
      <c r="C12" s="1"/>
      <c r="D12" s="1"/>
      <c r="E12" s="1"/>
      <c r="F12" s="1"/>
      <c r="G12" s="23" t="s">
        <v>156</v>
      </c>
      <c r="H12" s="24"/>
    </row>
    <row r="13" spans="1:9" x14ac:dyDescent="0.25">
      <c r="A13" t="s">
        <v>106</v>
      </c>
      <c r="B13" s="1">
        <v>6</v>
      </c>
      <c r="C13" s="1"/>
      <c r="D13" s="1"/>
      <c r="E13" s="1"/>
      <c r="F13" s="1"/>
      <c r="G13" s="23" t="s">
        <v>162</v>
      </c>
      <c r="H13" s="24"/>
      <c r="I13" s="17" t="s">
        <v>118</v>
      </c>
    </row>
    <row r="14" spans="1:9" x14ac:dyDescent="0.25">
      <c r="A14" t="s">
        <v>108</v>
      </c>
      <c r="B14" s="1">
        <v>6</v>
      </c>
      <c r="C14" s="1"/>
      <c r="D14" s="1"/>
      <c r="E14" s="1"/>
      <c r="F14" s="1"/>
      <c r="G14" s="23" t="s">
        <v>163</v>
      </c>
      <c r="H14" s="24"/>
      <c r="I14" s="17" t="s">
        <v>119</v>
      </c>
    </row>
    <row r="15" spans="1:9" x14ac:dyDescent="0.25">
      <c r="A15" t="s">
        <v>109</v>
      </c>
      <c r="B15" s="1">
        <v>6</v>
      </c>
      <c r="C15" s="1"/>
      <c r="D15" s="1"/>
      <c r="E15" s="1"/>
      <c r="F15" s="1"/>
      <c r="G15" s="24"/>
      <c r="H15" s="24"/>
    </row>
    <row r="16" spans="1:9" x14ac:dyDescent="0.25">
      <c r="A16" s="17" t="s">
        <v>114</v>
      </c>
      <c r="B16" s="1">
        <v>6</v>
      </c>
      <c r="C16" s="19"/>
      <c r="D16" s="19">
        <v>1</v>
      </c>
      <c r="E16" s="19"/>
      <c r="F16" s="19">
        <v>4</v>
      </c>
      <c r="G16" s="23" t="s">
        <v>158</v>
      </c>
      <c r="H16" s="23" t="s">
        <v>160</v>
      </c>
      <c r="I16" s="17" t="s">
        <v>159</v>
      </c>
    </row>
    <row r="17" spans="1:9" x14ac:dyDescent="0.25">
      <c r="A17" t="s">
        <v>80</v>
      </c>
      <c r="B17" s="1">
        <v>5</v>
      </c>
      <c r="C17" s="19"/>
      <c r="D17" s="19">
        <v>0</v>
      </c>
      <c r="E17" s="19">
        <v>255</v>
      </c>
      <c r="F17" s="19">
        <v>0</v>
      </c>
      <c r="G17" s="23" t="s">
        <v>252</v>
      </c>
      <c r="H17" s="25" t="str">
        <f>$H$10</f>
        <v>Die Helligkeit ist eine Zahl zwischen 0 und 255.</v>
      </c>
    </row>
    <row r="18" spans="1:9" x14ac:dyDescent="0.25">
      <c r="A18" s="21" t="s">
        <v>87</v>
      </c>
      <c r="B18" s="1">
        <v>4</v>
      </c>
      <c r="C18" s="1"/>
      <c r="D18" s="1"/>
      <c r="E18" s="1"/>
      <c r="F18" s="1"/>
      <c r="G18" s="23"/>
      <c r="H18" s="24"/>
    </row>
    <row r="19" spans="1:9" x14ac:dyDescent="0.25">
      <c r="A19" t="s">
        <v>95</v>
      </c>
      <c r="B19" s="1">
        <v>4</v>
      </c>
      <c r="C19" s="19" t="s">
        <v>203</v>
      </c>
      <c r="D19" s="19">
        <v>0</v>
      </c>
      <c r="E19" s="19">
        <v>1048560</v>
      </c>
      <c r="F19" s="19" t="s">
        <v>161</v>
      </c>
      <c r="G19" s="23" t="s">
        <v>150</v>
      </c>
      <c r="H19" s="25" t="str">
        <f t="shared" ref="H19:H20" si="0">$H$8</f>
        <v xml:space="preserve">Die Zeit wird in Millisekunden angegeben. Es können aber auch „Sec“ oder „Min“ angehängt werden. Die Maximale Zeit beträgt 17 Minuten (1048560 ms). </v>
      </c>
      <c r="I19" s="26"/>
    </row>
    <row r="20" spans="1:9" x14ac:dyDescent="0.25">
      <c r="A20" t="s">
        <v>96</v>
      </c>
      <c r="B20" s="1">
        <v>4</v>
      </c>
      <c r="C20" s="19" t="s">
        <v>203</v>
      </c>
      <c r="D20" s="19">
        <v>0</v>
      </c>
      <c r="E20" s="19">
        <v>1048560</v>
      </c>
      <c r="F20" s="19" t="s">
        <v>204</v>
      </c>
      <c r="G20" s="23" t="s">
        <v>151</v>
      </c>
      <c r="H20" s="25" t="str">
        <f t="shared" si="0"/>
        <v xml:space="preserve">Die Zeit wird in Millisekunden angegeben. Es können aber auch „Sec“ oder „Min“ angehängt werden. Die Maximale Zeit beträgt 17 Minuten (1048560 ms). </v>
      </c>
      <c r="I20" s="26"/>
    </row>
    <row r="21" spans="1:9" x14ac:dyDescent="0.25">
      <c r="A21" t="s">
        <v>112</v>
      </c>
      <c r="B21" s="1">
        <v>4</v>
      </c>
      <c r="C21" s="1"/>
      <c r="D21" s="1">
        <v>0</v>
      </c>
      <c r="E21" s="1">
        <v>1</v>
      </c>
      <c r="F21" s="1">
        <v>1</v>
      </c>
      <c r="G21" s="23" t="s">
        <v>262</v>
      </c>
      <c r="H21" s="23" t="s">
        <v>263</v>
      </c>
    </row>
    <row r="22" spans="1:9" x14ac:dyDescent="0.25">
      <c r="A22" t="s">
        <v>113</v>
      </c>
      <c r="B22" s="1">
        <v>4</v>
      </c>
      <c r="C22" s="1"/>
      <c r="D22" s="1"/>
      <c r="E22" s="1"/>
      <c r="F22" s="1"/>
      <c r="G22" s="24"/>
      <c r="H22" s="24"/>
    </row>
    <row r="23" spans="1:9" x14ac:dyDescent="0.25">
      <c r="A23" t="s">
        <v>90</v>
      </c>
      <c r="B23" s="1">
        <v>3</v>
      </c>
      <c r="C23" s="1"/>
      <c r="D23" s="1"/>
      <c r="E23" s="1"/>
      <c r="F23" s="1"/>
      <c r="G23" s="24"/>
      <c r="H23" s="24"/>
    </row>
    <row r="24" spans="1:9" x14ac:dyDescent="0.25">
      <c r="A24" t="s">
        <v>105</v>
      </c>
      <c r="B24" s="1">
        <v>3</v>
      </c>
      <c r="C24" s="19" t="s">
        <v>203</v>
      </c>
      <c r="D24" s="19">
        <v>1</v>
      </c>
      <c r="E24" s="19">
        <v>131070</v>
      </c>
      <c r="F24" s="19" t="s">
        <v>205</v>
      </c>
      <c r="G24" s="23" t="s">
        <v>147</v>
      </c>
      <c r="H24" s="23" t="s">
        <v>148</v>
      </c>
      <c r="I24" s="26"/>
    </row>
    <row r="25" spans="1:9" x14ac:dyDescent="0.25">
      <c r="A25" t="s">
        <v>94</v>
      </c>
      <c r="B25" s="1">
        <v>2</v>
      </c>
      <c r="C25" s="1"/>
      <c r="D25" s="1"/>
      <c r="E25" s="1"/>
      <c r="F25" s="1"/>
      <c r="G25" s="24"/>
      <c r="H25" s="24"/>
    </row>
    <row r="26" spans="1:9" x14ac:dyDescent="0.25">
      <c r="A26" t="s">
        <v>97</v>
      </c>
      <c r="B26" s="1">
        <v>2</v>
      </c>
      <c r="C26" s="19" t="s">
        <v>203</v>
      </c>
      <c r="D26" s="1">
        <v>1</v>
      </c>
      <c r="E26" s="19">
        <v>1048560</v>
      </c>
      <c r="F26" s="19" t="s">
        <v>206</v>
      </c>
      <c r="G26" s="23" t="s">
        <v>201</v>
      </c>
      <c r="H26" s="25" t="str">
        <f t="shared" ref="H26:H27" si="1">$H$8</f>
        <v xml:space="preserve">Die Zeit wird in Millisekunden angegeben. Es können aber auch „Sec“ oder „Min“ angehängt werden. Die Maximale Zeit beträgt 17 Minuten (1048560 ms). </v>
      </c>
      <c r="I26" s="26"/>
    </row>
    <row r="27" spans="1:9" x14ac:dyDescent="0.25">
      <c r="A27" t="s">
        <v>98</v>
      </c>
      <c r="B27" s="1">
        <v>2</v>
      </c>
      <c r="C27" s="19" t="s">
        <v>203</v>
      </c>
      <c r="D27" s="1">
        <v>1</v>
      </c>
      <c r="E27" s="19">
        <v>1048560</v>
      </c>
      <c r="F27" s="19" t="s">
        <v>207</v>
      </c>
      <c r="G27" s="23" t="s">
        <v>202</v>
      </c>
      <c r="H27" s="25" t="str">
        <f t="shared" si="1"/>
        <v xml:space="preserve">Die Zeit wird in Millisekunden angegeben. Es können aber auch „Sec“ oder „Min“ angehängt werden. Die Maximale Zeit beträgt 17 Minuten (1048560 ms). </v>
      </c>
      <c r="I27" s="26"/>
    </row>
    <row r="28" spans="1:9" x14ac:dyDescent="0.25">
      <c r="A28" t="s">
        <v>104</v>
      </c>
      <c r="B28" s="1">
        <v>2</v>
      </c>
      <c r="C28" s="1"/>
      <c r="D28" s="1">
        <v>1</v>
      </c>
      <c r="E28" s="1">
        <v>64</v>
      </c>
      <c r="F28" s="1">
        <v>3</v>
      </c>
      <c r="G28" s="23" t="s">
        <v>299</v>
      </c>
      <c r="H28" s="23" t="s">
        <v>300</v>
      </c>
    </row>
    <row r="29" spans="1:9" x14ac:dyDescent="0.25">
      <c r="A29" t="s">
        <v>81</v>
      </c>
      <c r="B29" s="1">
        <v>2</v>
      </c>
      <c r="C29" s="19" t="s">
        <v>203</v>
      </c>
      <c r="D29" s="1">
        <v>1</v>
      </c>
      <c r="E29" s="19">
        <v>1048560</v>
      </c>
      <c r="F29" s="19" t="s">
        <v>249</v>
      </c>
      <c r="G29" s="23" t="s">
        <v>250</v>
      </c>
      <c r="H29" s="25" t="str">
        <f t="shared" ref="H29:H30" si="2">$H$8</f>
        <v xml:space="preserve">Die Zeit wird in Millisekunden angegeben. Es können aber auch „Sec“ oder „Min“ angehängt werden. Die Maximale Zeit beträgt 17 Minuten (1048560 ms). </v>
      </c>
    </row>
    <row r="30" spans="1:9" x14ac:dyDescent="0.25">
      <c r="A30" t="s">
        <v>82</v>
      </c>
      <c r="B30" s="1">
        <v>2</v>
      </c>
      <c r="C30" s="19" t="s">
        <v>203</v>
      </c>
      <c r="D30" s="1">
        <v>1</v>
      </c>
      <c r="E30" s="19">
        <v>1048560</v>
      </c>
      <c r="F30" s="19" t="s">
        <v>249</v>
      </c>
      <c r="G30" s="23" t="s">
        <v>251</v>
      </c>
      <c r="H30" s="25" t="str">
        <f t="shared" si="2"/>
        <v xml:space="preserve">Die Zeit wird in Millisekunden angegeben. Es können aber auch „Sec“ oder „Min“ angehängt werden. Die Maximale Zeit beträgt 17 Minuten (1048560 ms). </v>
      </c>
    </row>
    <row r="31" spans="1:9" x14ac:dyDescent="0.25">
      <c r="A31" t="s">
        <v>115</v>
      </c>
      <c r="B31" s="1">
        <v>2</v>
      </c>
      <c r="C31" s="1"/>
      <c r="D31" s="1"/>
      <c r="E31" s="1"/>
      <c r="F31" s="1"/>
      <c r="G31" s="24"/>
      <c r="H31" s="24"/>
    </row>
    <row r="32" spans="1:9" x14ac:dyDescent="0.25">
      <c r="A32" t="s">
        <v>86</v>
      </c>
      <c r="B32" s="1">
        <v>1</v>
      </c>
      <c r="C32" s="1"/>
      <c r="D32" s="1"/>
      <c r="E32" s="1"/>
      <c r="F32" s="1"/>
      <c r="G32" s="24"/>
      <c r="H32" s="24"/>
      <c r="I32" s="17" t="s">
        <v>313</v>
      </c>
    </row>
    <row r="33" spans="1:8" x14ac:dyDescent="0.25">
      <c r="A33" t="s">
        <v>77</v>
      </c>
      <c r="B33" s="1">
        <v>1</v>
      </c>
      <c r="C33" s="1"/>
      <c r="D33" s="1"/>
      <c r="E33" s="1"/>
      <c r="F33" s="1"/>
      <c r="G33" s="24"/>
      <c r="H33" s="24"/>
    </row>
    <row r="34" spans="1:8" x14ac:dyDescent="0.25">
      <c r="A34" t="s">
        <v>74</v>
      </c>
      <c r="B34" s="1">
        <v>1</v>
      </c>
      <c r="C34" s="1"/>
      <c r="D34" s="1">
        <v>1</v>
      </c>
      <c r="E34" s="1">
        <v>250</v>
      </c>
      <c r="F34" s="1">
        <v>3</v>
      </c>
      <c r="G34" s="23" t="s">
        <v>208</v>
      </c>
      <c r="H34" s="23" t="s">
        <v>210</v>
      </c>
    </row>
    <row r="35" spans="1:8" x14ac:dyDescent="0.25">
      <c r="A35" s="17" t="s">
        <v>289</v>
      </c>
      <c r="B35" s="1">
        <v>1</v>
      </c>
      <c r="C35" s="1"/>
      <c r="D35" s="1">
        <v>1</v>
      </c>
      <c r="E35" s="1">
        <v>100</v>
      </c>
      <c r="F35" s="1">
        <v>3</v>
      </c>
      <c r="G35" s="23" t="s">
        <v>287</v>
      </c>
      <c r="H35" s="23" t="s">
        <v>288</v>
      </c>
    </row>
    <row r="36" spans="1:8" x14ac:dyDescent="0.25">
      <c r="A36" s="17" t="s">
        <v>291</v>
      </c>
      <c r="B36" s="1">
        <v>1</v>
      </c>
      <c r="C36" s="1"/>
      <c r="D36" s="1">
        <v>-20</v>
      </c>
      <c r="E36" s="1">
        <v>20</v>
      </c>
      <c r="F36" s="1">
        <v>1</v>
      </c>
      <c r="G36" s="23" t="s">
        <v>295</v>
      </c>
      <c r="H36" s="23" t="s">
        <v>296</v>
      </c>
    </row>
    <row r="37" spans="1:8" x14ac:dyDescent="0.25">
      <c r="A37" t="s">
        <v>88</v>
      </c>
      <c r="B37" s="1">
        <v>1</v>
      </c>
      <c r="C37" s="1"/>
      <c r="D37" s="1">
        <v>1</v>
      </c>
      <c r="E37" s="1">
        <v>255</v>
      </c>
      <c r="F37" s="1">
        <v>200</v>
      </c>
      <c r="G37" s="23" t="s">
        <v>209</v>
      </c>
      <c r="H37" s="23" t="s">
        <v>211</v>
      </c>
    </row>
    <row r="38" spans="1:8" x14ac:dyDescent="0.25">
      <c r="A38" t="s">
        <v>91</v>
      </c>
      <c r="B38" s="1">
        <v>1</v>
      </c>
      <c r="C38" s="1"/>
      <c r="D38" s="1">
        <v>0</v>
      </c>
      <c r="E38" s="1">
        <v>250</v>
      </c>
      <c r="F38" s="1"/>
      <c r="G38" s="23" t="s">
        <v>529</v>
      </c>
      <c r="H38" s="24"/>
    </row>
    <row r="39" spans="1:8" x14ac:dyDescent="0.25">
      <c r="A39" t="s">
        <v>99</v>
      </c>
      <c r="B39" s="1">
        <v>1</v>
      </c>
      <c r="C39" s="1"/>
      <c r="D39" s="1">
        <v>0</v>
      </c>
      <c r="E39" s="1">
        <v>255</v>
      </c>
      <c r="F39" s="1"/>
      <c r="G39" s="23" t="s">
        <v>530</v>
      </c>
      <c r="H39" s="23" t="s">
        <v>531</v>
      </c>
    </row>
    <row r="40" spans="1:8" x14ac:dyDescent="0.25">
      <c r="A40" t="s">
        <v>100</v>
      </c>
      <c r="B40" s="1">
        <v>1</v>
      </c>
      <c r="C40" s="1"/>
      <c r="D40" s="1">
        <v>0</v>
      </c>
      <c r="E40" s="1">
        <v>250</v>
      </c>
      <c r="F40" s="1"/>
      <c r="G40" s="23" t="s">
        <v>529</v>
      </c>
      <c r="H40" s="24"/>
    </row>
    <row r="41" spans="1:8" x14ac:dyDescent="0.25">
      <c r="A41" t="s">
        <v>101</v>
      </c>
      <c r="B41" s="1">
        <v>1</v>
      </c>
      <c r="C41" s="1"/>
      <c r="D41" s="1">
        <v>0</v>
      </c>
      <c r="E41" s="1">
        <v>255</v>
      </c>
      <c r="F41" s="1"/>
      <c r="G41" s="23" t="s">
        <v>532</v>
      </c>
      <c r="H41" s="24"/>
    </row>
    <row r="42" spans="1:8" x14ac:dyDescent="0.25">
      <c r="A42" t="s">
        <v>102</v>
      </c>
      <c r="B42" s="1">
        <v>1</v>
      </c>
      <c r="C42" s="1"/>
      <c r="D42" s="1">
        <v>0</v>
      </c>
      <c r="E42" s="1">
        <v>255</v>
      </c>
      <c r="F42" s="1"/>
      <c r="G42" s="23" t="s">
        <v>533</v>
      </c>
      <c r="H42" s="24"/>
    </row>
    <row r="43" spans="1:8" x14ac:dyDescent="0.25">
      <c r="A43" t="s">
        <v>103</v>
      </c>
      <c r="B43" s="1">
        <v>1</v>
      </c>
      <c r="C43" s="1"/>
      <c r="D43" s="1">
        <v>0</v>
      </c>
      <c r="E43" s="1">
        <v>255</v>
      </c>
      <c r="F43" s="1"/>
      <c r="G43" s="23" t="s">
        <v>534</v>
      </c>
      <c r="H43" s="24"/>
    </row>
    <row r="44" spans="1:8" x14ac:dyDescent="0.25">
      <c r="A44" t="s">
        <v>84</v>
      </c>
      <c r="B44" s="1">
        <v>1</v>
      </c>
      <c r="C44" s="1"/>
      <c r="D44" s="1">
        <v>0</v>
      </c>
      <c r="E44" s="1">
        <v>255</v>
      </c>
      <c r="F44" s="1">
        <v>0</v>
      </c>
      <c r="G44" s="23" t="s">
        <v>146</v>
      </c>
      <c r="H44" s="25" t="str">
        <f>$H$10</f>
        <v>Die Helligkeit ist eine Zahl zwischen 0 und 255.</v>
      </c>
    </row>
    <row r="45" spans="1:8" x14ac:dyDescent="0.25">
      <c r="A45" t="s">
        <v>363</v>
      </c>
      <c r="B45" s="1">
        <v>1</v>
      </c>
      <c r="C45" s="1"/>
      <c r="D45" s="1">
        <v>3</v>
      </c>
      <c r="E45" s="1">
        <v>15</v>
      </c>
      <c r="F45" s="1">
        <v>6</v>
      </c>
      <c r="G45" s="23" t="s">
        <v>364</v>
      </c>
      <c r="H45" s="25" t="s">
        <v>365</v>
      </c>
    </row>
    <row r="46" spans="1:8" x14ac:dyDescent="0.25">
      <c r="A46" t="s">
        <v>110</v>
      </c>
      <c r="B46" s="1">
        <v>2</v>
      </c>
      <c r="C46" s="1"/>
      <c r="D46" s="1">
        <v>0</v>
      </c>
      <c r="E46" s="1">
        <v>255</v>
      </c>
      <c r="F46" s="1">
        <v>5</v>
      </c>
      <c r="G46" s="23" t="s">
        <v>358</v>
      </c>
      <c r="H46" s="25" t="str">
        <f t="shared" ref="H46:H47" si="3">$H$10</f>
        <v>Die Helligkeit ist eine Zahl zwischen 0 und 255.</v>
      </c>
    </row>
    <row r="47" spans="1:8" x14ac:dyDescent="0.25">
      <c r="A47" t="s">
        <v>111</v>
      </c>
      <c r="B47" s="1">
        <v>2</v>
      </c>
      <c r="C47" s="1"/>
      <c r="D47" s="1">
        <v>1</v>
      </c>
      <c r="E47" s="1">
        <v>255</v>
      </c>
      <c r="F47" s="1">
        <v>255</v>
      </c>
      <c r="G47" s="23" t="s">
        <v>359</v>
      </c>
      <c r="H47" s="25" t="str">
        <f t="shared" si="3"/>
        <v>Die Helligkeit ist eine Zahl zwischen 0 und 255.</v>
      </c>
    </row>
    <row r="48" spans="1:8" x14ac:dyDescent="0.25">
      <c r="A48" s="17" t="s">
        <v>347</v>
      </c>
      <c r="B48" s="1">
        <v>1</v>
      </c>
      <c r="C48" s="17" t="s">
        <v>203</v>
      </c>
      <c r="D48" s="1">
        <v>1</v>
      </c>
      <c r="E48" s="19">
        <v>1048560</v>
      </c>
      <c r="F48" s="19" t="s">
        <v>348</v>
      </c>
      <c r="G48" s="17" t="s">
        <v>349</v>
      </c>
      <c r="H48" s="25" t="str">
        <f t="shared" ref="H48:H50" si="4">$H$8</f>
        <v xml:space="preserve">Die Zeit wird in Millisekunden angegeben. Es können aber auch „Sec“ oder „Min“ angehängt werden. Die Maximale Zeit beträgt 17 Minuten (1048560 ms). </v>
      </c>
    </row>
    <row r="49" spans="1:8" x14ac:dyDescent="0.25">
      <c r="A49" s="17" t="s">
        <v>350</v>
      </c>
      <c r="B49" s="1">
        <v>1</v>
      </c>
      <c r="C49" s="17" t="s">
        <v>203</v>
      </c>
      <c r="D49" s="1">
        <v>0</v>
      </c>
      <c r="E49" s="19">
        <v>1048560</v>
      </c>
      <c r="F49" s="19" t="s">
        <v>351</v>
      </c>
      <c r="G49" s="17" t="s">
        <v>352</v>
      </c>
      <c r="H49" s="25" t="str">
        <f t="shared" si="4"/>
        <v xml:space="preserve">Die Zeit wird in Millisekunden angegeben. Es können aber auch „Sec“ oder „Min“ angehängt werden. Die Maximale Zeit beträgt 17 Minuten (1048560 ms). </v>
      </c>
    </row>
    <row r="50" spans="1:8" x14ac:dyDescent="0.25">
      <c r="A50" s="17" t="s">
        <v>353</v>
      </c>
      <c r="B50" s="1">
        <v>1</v>
      </c>
      <c r="C50" s="17" t="s">
        <v>203</v>
      </c>
      <c r="D50" s="1">
        <v>0</v>
      </c>
      <c r="E50" s="19">
        <v>1048560</v>
      </c>
      <c r="F50" s="19" t="s">
        <v>354</v>
      </c>
      <c r="G50" s="59" t="s">
        <v>355</v>
      </c>
      <c r="H50" s="25" t="str">
        <f t="shared" si="4"/>
        <v xml:space="preserve">Die Zeit wird in Millisekunden angegeben. Es können aber auch „Sec“ oder „Min“ angehängt werden. Die Maximale Zeit beträgt 17 Minuten (1048560 ms). </v>
      </c>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5</vt:i4>
      </vt:variant>
    </vt:vector>
  </HeadingPairs>
  <TitlesOfParts>
    <vt:vector size="12" baseType="lpstr">
      <vt:lpstr>Start</vt:lpstr>
      <vt:lpstr>DCC</vt:lpstr>
      <vt:lpstr>Selectrix</vt:lpstr>
      <vt:lpstr>CAN</vt:lpstr>
      <vt:lpstr>Config</vt:lpstr>
      <vt:lpstr>Lib_Macros</vt:lpstr>
      <vt:lpstr>Par_Description</vt:lpstr>
      <vt:lpstr>AddLibNames</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2019-10-06T07:26:56Z</dcterms:modified>
</cp:coreProperties>
</file>