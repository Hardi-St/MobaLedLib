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01BE7388-8239-4026-8D7A-FE1B36E0A833}"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73" state="hidden" r:id="rId2"/>
  </sheets>
  <functionGroups builtInGroupCount="19"/>
  <definedNames>
    <definedName name="Analog">Main!$E$28</definedName>
    <definedName name="Analoges_Überblenden">Main!$E$11</definedName>
    <definedName name="AnalogUeberbl">Main!$E$11</definedName>
    <definedName name="Bits_pro_Wert">Main!$E$6</definedName>
    <definedName name="DataBytes" localSheetId="0">Main!$K$39</definedName>
    <definedName name="Ende">Main!$E$37</definedName>
    <definedName name="ErsteRGBLED">Main!$E$2</definedName>
    <definedName name="FreeBits">Main!$E$34</definedName>
    <definedName name="FreeBits_BpC">Main!$E$32</definedName>
    <definedName name="Goto_Bytes">Main!$E$36</definedName>
    <definedName name="Goto_Mode">Main!$E$12</definedName>
    <definedName name="Grafische_Anzeige">Main!$E$13</definedName>
    <definedName name="HP0">#REF!</definedName>
    <definedName name="InChStr">Main!$H$30</definedName>
    <definedName name="InNrStr">Main!$H$30</definedName>
    <definedName name="InNrStr2">Main!$J$30</definedName>
    <definedName name="InputCh">Main!$E$30</definedName>
    <definedName name="Kanaele">Main!$E$5</definedName>
    <definedName name="Makro_Name">Main!$E$17</definedName>
    <definedName name="Mode">Main!$E$10</definedName>
    <definedName name="Pattern_Bytes">Main!$E$35</definedName>
    <definedName name="Pattern_u_FreeBits">Main!$E$33</definedName>
    <definedName name="SchalterNr">Main!$E$4</definedName>
    <definedName name="ShalterNr">Main!$E$4</definedName>
    <definedName name="Start">Main!$E$29</definedName>
    <definedName name="Startkanal">Main!$E$3</definedName>
    <definedName name="StCh_FreeBits_BpC">Main!$E$31</definedName>
    <definedName name="TimerBytes" localSheetId="0">Main!$H$39</definedName>
    <definedName name="Wert_ausgeschaltet">Main!$E$9</definedName>
    <definedName name="Wert_Min">Main!$E$7</definedName>
    <definedName name="Wert0">Main!$E$7</definedName>
    <definedName name="WertMax">Main!$E$8</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0" i="11" l="1"/>
  <c r="H30" i="11"/>
  <c r="D43" i="11" l="1"/>
  <c r="F9" i="11"/>
  <c r="F8" i="11"/>
  <c r="F7" i="11"/>
  <c r="F6" i="11"/>
  <c r="F5" i="11"/>
  <c r="F4" i="11"/>
  <c r="F3" i="11"/>
  <c r="F2" i="11"/>
  <c r="E30" i="11" l="1"/>
  <c r="E36" i="11"/>
  <c r="E28" i="11" l="1"/>
  <c r="E33" i="11"/>
  <c r="E35" i="11" l="1"/>
  <c r="GM1" i="11" l="1"/>
  <c r="K39" i="11" l="1"/>
  <c r="E34" i="11"/>
  <c r="AJ24" i="11"/>
  <c r="AI24" i="11" s="1"/>
  <c r="AH24" i="11" s="1"/>
  <c r="E31" i="11" l="1"/>
  <c r="E32"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I24" i="11" s="1"/>
  <c r="J25" i="11" l="1"/>
  <c r="H24" i="11" l="1"/>
  <c r="I25" i="11"/>
  <c r="H25" i="11" l="1"/>
  <c r="G24" i="11"/>
  <c r="G25" i="11" l="1"/>
  <c r="F24" i="11"/>
  <c r="F25" i="11" l="1"/>
  <c r="E24" i="11"/>
  <c r="E29" i="11" s="1"/>
  <c r="H39" i="11" l="1"/>
  <c r="E41" i="11" s="1"/>
  <c r="E25" i="11"/>
  <c r="E26" i="11" l="1"/>
  <c r="D23" i="11" s="1"/>
  <c r="E37" i="11" l="1"/>
  <c r="E15" i="11" l="1"/>
  <c r="E38" i="11"/>
  <c r="E18"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<sst xmlns="http://schemas.openxmlformats.org/spreadsheetml/2006/main" count="475" uniqueCount="304">
  <si>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</si>
  <si>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</si>
  <si>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</si>
  <si>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</si>
  <si>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</si>
  <si>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</si>
  <si>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</si>
  <si>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</si>
  <si>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</si>
  <si>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</si>
  <si>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</si>
  <si>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</si>
  <si>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</si>
  <si>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</si>
  <si>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</si>
  <si>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</si>
  <si>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</si>
  <si>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</si>
  <si>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</si>
  <si>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</si>
  <si>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</si>
  <si>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</si>
  <si>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</si>
  <si>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</si>
  <si>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</si>
  <si>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</si>
  <si>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</si>
  <si>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</si>
  <si>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</si>
  <si>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</si>
  <si>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</si>
  <si>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</si>
  <si>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</si>
  <si>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</si>
  <si>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</si>
  <si>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</si>
  <si>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</si>
  <si>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</si>
  <si>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</si>
  <si>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</si>
  <si>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</si>
  <si>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</si>
  <si>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</si>
  <si>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</si>
  <si>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</si>
  <si>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</si>
  <si>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</si>
  <si>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</si>
  <si>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</si>
  <si>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</si>
  <si>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</si>
  <si>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</si>
  <si>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</si>
  <si>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</si>
  <si>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</si>
  <si>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</si>
  <si>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</si>
  <si>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</si>
  <si>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</si>
  <si>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</si>
  <si>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</si>
  <si>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</si>
  <si>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</si>
  <si>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</si>
  <si>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</si>
  <si>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</si>
  <si>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</si>
  <si>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</si>
  <si>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</si>
  <si>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</si>
  <si>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</si>
  <si>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</si>
  <si>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</si>
  <si>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</si>
  <si>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</si>
  <si>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</si>
  <si>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</si>
  <si>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</si>
  <si>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</si>
  <si>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</si>
  <si>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</si>
  <si>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</si>
  <si>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</si>
  <si>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</si>
  <si>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</si>
  <si>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</si>
  <si>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</si>
  <si>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</si>
  <si>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</si>
  <si>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</si>
  <si>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</si>
  <si>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</si>
  <si>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</si>
  <si>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</si>
  <si>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</si>
  <si>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</si>
  <si>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</si>
  <si>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</si>
  <si>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</si>
  <si>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</si>
  <si>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</si>
  <si>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</si>
  <si>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</si>
  <si>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</si>
  <si>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</si>
  <si>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</si>
  <si>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</si>
  <si>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</si>
  <si>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</si>
  <si>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</si>
  <si>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</si>
  <si>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</si>
  <si>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</si>
  <si>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</si>
  <si>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</si>
  <si>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</si>
  <si>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</si>
  <si>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</si>
  <si>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</si>
  <si>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</si>
  <si>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</si>
  <si>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</si>
  <si>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</si>
  <si>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</si>
  <si>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</si>
  <si>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</si>
  <si>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</si>
  <si>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</si>
  <si>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</si>
  <si>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</si>
  <si>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</si>
  <si>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</si>
  <si>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</si>
  <si>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</si>
  <si>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</si>
  <si>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</si>
  <si>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</si>
  <si>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</si>
  <si>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</si>
  <si>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</si>
  <si>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</si>
  <si>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</si>
  <si>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</si>
  <si>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</si>
  <si>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</si>
  <si>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</si>
  <si>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</si>
  <si>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</si>
  <si>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</si>
  <si>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</si>
  <si>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</si>
  <si>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</si>
  <si>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</si>
  <si>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</si>
  <si>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</si>
  <si>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</si>
  <si>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</si>
  <si>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</si>
  <si>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</si>
  <si>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</si>
  <si>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</si>
  <si>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</si>
  <si>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</si>
  <si>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</si>
  <si>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</si>
  <si>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</si>
  <si>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</si>
  <si>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</si>
  <si>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</si>
  <si>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</si>
  <si>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</si>
  <si>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</si>
  <si>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</si>
  <si>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</si>
  <si>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</si>
  <si>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</si>
  <si>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</si>
  <si>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</si>
  <si>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</si>
  <si>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</si>
  <si>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</si>
  <si>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</si>
  <si>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</si>
  <si>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</si>
  <si>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</si>
  <si>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</si>
  <si>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</si>
  <si>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</si>
  <si>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</si>
  <si>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</si>
  <si>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</si>
  <si>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</si>
  <si>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</si>
  <si>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</si>
  <si>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</si>
  <si>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</si>
  <si>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</si>
  <si>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</si>
  <si>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</si>
  <si>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</si>
  <si>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</si>
  <si>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</si>
  <si>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</si>
  <si>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</si>
  <si>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</si>
  <si>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</si>
  <si>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</si>
  <si>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</si>
  <si>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</si>
  <si>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</si>
  <si>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</si>
  <si>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</si>
  <si>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</si>
  <si>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</si>
  <si>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</si>
  <si>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</si>
  <si>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</si>
  <si>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</si>
  <si>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</si>
  <si>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</si>
  <si>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</si>
  <si>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</si>
  <si>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</si>
  <si>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</si>
  <si>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</si>
  <si>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</si>
  <si>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</si>
  <si>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</si>
  <si>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</si>
  <si>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</si>
  <si>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</si>
  <si>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</si>
  <si>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</si>
  <si>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</si>
  <si>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</si>
  <si>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</si>
  <si>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</si>
  <si>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</si>
  <si>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</si>
  <si>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</si>
  <si>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</si>
  <si>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</si>
  <si>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</si>
  <si>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</si>
  <si>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</si>
  <si>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</si>
  <si>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</si>
  <si>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</si>
  <si>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</si>
  <si>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</si>
  <si>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</si>
  <si>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</si>
  <si>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</si>
  <si>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</si>
  <si>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</si>
  <si>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</si>
  <si>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</si>
  <si>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</si>
  <si>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</si>
  <si>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</si>
  <si>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</si>
  <si>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</si>
  <si>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</si>
  <si>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</si>
  <si>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</si>
  <si>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</si>
  <si>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</si>
  <si>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</si>
  <si>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</si>
  <si>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</si>
  <si>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</si>
  <si>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</si>
  <si>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</si>
  <si>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</si>
  <si>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</si>
  <si>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</si>
  <si>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</si>
  <si>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</si>
  <si>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</si>
  <si>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</si>
  <si>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</si>
  <si>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</si>
  <si>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</si>
  <si>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</si>
  <si>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</si>
  <si>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</si>
  <si>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</si>
  <si>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</si>
  <si>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</si>
  <si>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</si>
  <si>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</si>
  <si>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</si>
  <si>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</si>
  <si>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</si>
  <si>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</si>
  <si>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</si>
  <si>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</si>
  <si>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</si>
  <si>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</si>
  <si>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</si>
  <si>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</si>
  <si>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</si>
  <si>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</si>
  <si>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0.79    21.10.19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</si>
</sst>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1" xfId="0" applyBorder="1"/>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cellXfs>
  <cellStyles count="2">
    <cellStyle name="Link" xfId="1" builtinId="8"/>
    <cellStyle name="Standard" xfId="0" builtinId="0"/>
  </cellStyles>
  <dxfs count="11">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37</xdr:col>
      <xdr:colOff>202464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showRowColHeaders="0" tabSelected="1" zoomScaleNormal="100" workbookViewId="0">
      <selection activeCell="E45" sqref="E45"/>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67"/>
      <c r="K2" s="67"/>
      <c r="L2" s="67"/>
      <c r="M2" s="68"/>
      <c r="N2" s="69"/>
      <c r="O2" s="67"/>
      <c r="P2" s="67"/>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67"/>
      <c r="K3" s="67"/>
      <c r="L3" s="67"/>
      <c r="M3" s="68"/>
      <c r="N3" s="69"/>
      <c r="O3" s="67"/>
      <c r="P3" s="67"/>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67"/>
      <c r="K4" s="67"/>
      <c r="L4" s="70"/>
      <c r="M4" s="68"/>
      <c r="N4" s="69"/>
      <c r="O4" s="67"/>
      <c r="P4" s="67"/>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67"/>
      <c r="K5" s="67"/>
      <c r="L5" s="67"/>
      <c r="M5" s="67"/>
      <c r="N5" s="67"/>
      <c r="O5" s="67"/>
      <c r="P5" s="67"/>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67"/>
      <c r="K6" s="67"/>
      <c r="L6" s="67"/>
      <c r="M6" s="67"/>
      <c r="N6" s="67"/>
      <c r="O6" s="67"/>
      <c r="P6" s="67"/>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67"/>
      <c r="K7" s="67"/>
      <c r="L7" s="67"/>
      <c r="M7" s="67"/>
      <c r="N7" s="67"/>
      <c r="O7" s="67"/>
      <c r="P7" s="67"/>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Wechselblinker(LED,InCh)                       PatternT1(LED,128,InCh,2,0,128,0,0,1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Wechselblinker_StCh(LED,StCh,InCh)     PatternT1(LED,StCh+128,InCh,2,0,128,0,0,1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66"/>
      <c r="AA23" s="66"/>
      <c r="AB23" s="66"/>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Wechselblinker(LED,NStru,InCh)    PatternT1(LED,NStru,InCh,2,0,128,0,0,1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71">
        <f>E39+TimerBytes+DataBytes</f>
        <v>14</v>
      </c>
      <c r="F41" s="72"/>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10" priority="13">
      <formula>$E$5&gt;=ROW(D45)-ROW($D$44)</formula>
    </cfRule>
  </conditionalFormatting>
  <conditionalFormatting sqref="F42 E41">
    <cfRule type="expression" dxfId="9" priority="4">
      <formula>$E$41&gt;2000</formula>
    </cfRule>
    <cfRule type="expression" dxfId="8" priority="5">
      <formula>$E$41&gt;2000</formula>
    </cfRule>
    <cfRule type="expression" dxfId="7" priority="6">
      <formula>$E$41&gt;2000</formula>
    </cfRule>
    <cfRule type="expression" dxfId="6" priority="7">
      <formula>$E$41&gt;2000</formula>
    </cfRule>
    <cfRule type="expression" dxfId="5" priority="8">
      <formula>$E$41&gt;2000</formula>
    </cfRule>
    <cfRule type="expression" dxfId="4" priority="9">
      <formula>$E$41&gt;2000</formula>
    </cfRule>
    <cfRule type="expression" dxfId="3" priority="10">
      <formula>$E$41&gt;2000</formula>
    </cfRule>
    <cfRule type="expression" dxfId="2" priority="11">
      <formula>$E$41&gt;2000</formula>
    </cfRule>
  </conditionalFormatting>
  <conditionalFormatting sqref="F23:Y23">
    <cfRule type="expression" dxfId="1" priority="2">
      <formula>_xlfn.ISFORMULA(F23)</formula>
    </cfRule>
  </conditionalFormatting>
  <conditionalFormatting sqref="L78:BI78 AB57:BI57 E79:BI154 E78:J78 E45:BI56 E58:BI77 C45:D154 E57:Z57">
    <cfRule type="expression" dxfId="0"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32</vt:i4>
      </vt:variant>
    </vt:vector>
  </HeadingPairs>
  <TitlesOfParts>
    <vt:vector size="34" baseType="lpstr">
      <vt:lpstr>Main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Goto_Bytes</vt:lpstr>
      <vt:lpstr>Goto_Mode</vt:lpstr>
      <vt:lpstr>Grafische_Anzeige</vt:lpstr>
      <vt:lpstr>InChStr</vt:lpstr>
      <vt:lpstr>InNrStr</vt:lpstr>
      <vt:lpstr>InNrStr2</vt:lpstr>
      <vt:lpstr>InputCh</vt:lpstr>
      <vt:lpstr>Kanaele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2019-10-21T22:02:01Z</dcterms:modified>
</cp:coreProperties>
</file>