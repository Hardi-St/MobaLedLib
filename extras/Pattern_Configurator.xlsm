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Users\Hardi\Documents\Arduino\MobaLedLib_1.0.1\"/>
    </mc:Choice>
  </mc:AlternateContent>
  <xr:revisionPtr revIDLastSave="0" documentId="13_ncr:1_{4B09901F-1CDC-410C-9B4D-162450325A09}" xr6:coauthVersionLast="45" xr6:coauthVersionMax="45" xr10:uidLastSave="{00000000-0000-0000-0000-000000000000}"/>
  <bookViews>
    <workbookView xWindow="936" yWindow="0" windowWidth="20172" windowHeight="17280" tabRatio="881" xr2:uid="{00000000-000D-0000-FFFF-FFFF00000000}"/>
  </bookViews>
  <sheets>
    <sheet name="Main" sheetId="11" r:id="rId1"/>
    <sheet name="Languages" sheetId="73" state="hidden" r:id="rId2"/>
    <sheet name="Goto_Activation_Entries" sheetId="500" state="hidden" r:id="rId3"/>
    <sheet name="Special_Mode_Dlg" sheetId="575" state="hidden" r:id="rId4"/>
    <sheet name="Par_Description" sheetId="501" state="hidden" r:id="rId5"/>
  </sheets>
  <functionGroups builtInGroupCount="19"/>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Main!$E$33</definedName>
    <definedName name="Analog_Inputs">Main!$E$18</definedName>
    <definedName name="Analoges_Überblenden">Main!$E$11</definedName>
    <definedName name="AnalogUeberbl">Main!$E$11</definedName>
    <definedName name="Bits_pro_Wert">Main!$E$6</definedName>
    <definedName name="CPX_LED_Assignement">Main!$E$17</definedName>
    <definedName name="DataBytes" localSheetId="0">Main!$K$44</definedName>
    <definedName name="Ende">Main!$E$42</definedName>
    <definedName name="ErsteRGBLED">Main!$E$2</definedName>
    <definedName name="FreeBits">Main!$E$39</definedName>
    <definedName name="FreeBits_BpC">Main!$E$37</definedName>
    <definedName name="Goto_Aktivierung">Main!$E$13</definedName>
    <definedName name="Goto_Bytes">Main!$E$41</definedName>
    <definedName name="Goto_Mode">Main!$E$12</definedName>
    <definedName name="Grafische_Anzeige">Main!$E$14</definedName>
    <definedName name="HP0">#REF!</definedName>
    <definedName name="InChStr">Main!$H$35</definedName>
    <definedName name="InNrStr">Main!$H$35</definedName>
    <definedName name="InNrStr2">Main!$J$35</definedName>
    <definedName name="InputCh">Main!$E$35</definedName>
    <definedName name="Kanaele">Main!$E$5</definedName>
    <definedName name="LED_Assignement_Head">Special_Mode_Dlg!$C$14</definedName>
    <definedName name="LED_Assignm_Head">Special_Mode_Dlg!$D$14</definedName>
    <definedName name="Macro_Range">Main!$E$23</definedName>
    <definedName name="Makro_Name">Main!$E$22</definedName>
    <definedName name="Mode">Main!$E$10</definedName>
    <definedName name="Mode16">Main!$E$32</definedName>
    <definedName name="Pattern_Bytes">Main!$E$40</definedName>
    <definedName name="Pattern_u_FreeBits">Main!$E$38</definedName>
    <definedName name="RGB_Modul_Nr">Main!$E$16</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Main!$E$34</definedName>
    <definedName name="Startkanal">Main!$E$3</definedName>
    <definedName name="StCh_FreeBits_BpC">Main!$E$36</definedName>
    <definedName name="TimerBytes" localSheetId="0">Main!$H$44</definedName>
    <definedName name="Wert_ausgeschaltet">Main!$E$9</definedName>
    <definedName name="Wert_Min">Main!$E$7</definedName>
    <definedName name="Wert0">Main!$E$7</definedName>
    <definedName name="WertMax">Main!$E$8</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500" l="1"/>
  <c r="D9" i="500"/>
  <c r="AJ29" i="11"/>
  <c r="E31" i="11"/>
  <c r="F48" i="11"/>
  <c r="D28" i="11" l="1"/>
  <c r="H5" i="501"/>
  <c r="H4" i="501"/>
  <c r="E32" i="11"/>
  <c r="AI29" i="11"/>
  <c r="D7" i="500" l="1"/>
  <c r="D8" i="500"/>
  <c r="AH29" i="11"/>
  <c r="D4" i="500" l="1"/>
  <c r="D5" i="500"/>
  <c r="D6" i="500"/>
  <c r="AG29" i="11"/>
  <c r="J35" i="11" l="1"/>
  <c r="H35" i="11"/>
  <c r="AF29" i="11"/>
  <c r="F9" i="11" l="1"/>
  <c r="F8" i="11"/>
  <c r="F7" i="11"/>
  <c r="F6" i="11"/>
  <c r="F5" i="11"/>
  <c r="F4" i="11"/>
  <c r="F3" i="11"/>
  <c r="F2" i="11"/>
  <c r="AE29" i="11"/>
  <c r="E35" i="11" l="1"/>
  <c r="AD29" i="11"/>
  <c r="E41" i="11"/>
  <c r="E33" i="11" l="1"/>
  <c r="AC29" i="11"/>
  <c r="E38" i="11"/>
  <c r="E40" i="11" l="1"/>
  <c r="E42" i="11" s="1"/>
  <c r="AB29" i="11"/>
  <c r="K44" i="11" l="1"/>
  <c r="E39" i="11"/>
  <c r="AA29" i="11"/>
  <c r="E36" i="11" l="1"/>
  <c r="E37" i="11"/>
  <c r="Z29" i="11"/>
  <c r="F36" i="11" l="1"/>
  <c r="Y29" i="11"/>
  <c r="X29" i="11" l="1"/>
  <c r="W29" i="11" l="1"/>
  <c r="V29" i="11" l="1"/>
  <c r="U29" i="11" l="1"/>
  <c r="T29" i="11"/>
  <c r="S29" i="11"/>
  <c r="R29" i="11"/>
  <c r="Q29" i="11"/>
  <c r="P29" i="11"/>
  <c r="O29" i="11"/>
  <c r="N29" i="11"/>
  <c r="M29" i="11"/>
  <c r="L29" i="11"/>
  <c r="K29" i="11"/>
  <c r="J29" i="11"/>
  <c r="I29" i="11"/>
  <c r="H29" i="11"/>
  <c r="G29" i="11"/>
  <c r="F29" i="11"/>
  <c r="E29" i="11"/>
  <c r="H44" i="11" l="1"/>
  <c r="E46" i="11" s="1"/>
  <c r="E34" i="11"/>
  <c r="E25" i="11" l="1"/>
  <c r="E23" i="11"/>
  <c r="E43"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16-mal langsamer. Zeitangaben in 16 ms. 
  Dadurch können Zeiten über 17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 xml:space="preserve">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
</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 xml:space="preserve">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200-000001000000}">
      <text>
        <r>
          <rPr>
            <sz val="9"/>
            <color indexed="81"/>
            <rFont val="Segoe UI"/>
            <family val="2"/>
          </rPr>
          <t xml:space="preserve">'e' = Not finished =&gt; Expert
Change to Normal if finished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300-000001000000}">
      <text>
        <r>
          <rPr>
            <sz val="9"/>
            <color indexed="81"/>
            <rFont val="Segoe UI"/>
            <family val="2"/>
          </rPr>
          <t xml:space="preserve">'e' = Not finished =&gt; Expert
Change to Normal if finished
</t>
        </r>
      </text>
    </comment>
    <comment ref="A14" authorId="0" shapeId="0" xr:uid="{00000000-0006-0000-0300-000002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4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<sst xmlns="http://schemas.openxmlformats.org/spreadsheetml/2006/main" count="642" uniqueCount="422">
  <si>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</si>
  <si>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</si>
  <si>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</si>
  <si>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</si>
  <si>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</si>
  <si>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</si>
  <si>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</si>
  <si>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</si>
  <si>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</si>
  <si>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</si>
  <si>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</si>
  <si>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</si>
  <si>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</si>
  <si>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</si>
  <si>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</si>
  <si>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</si>
  <si>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</si>
  <si>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</si>
  <si>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</si>
  <si>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</si>
  <si>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</si>
  <si>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</si>
  <si>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</si>
  <si>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</si>
  <si>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</si>
  <si>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</si>
  <si>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</si>
  <si>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</si>
  <si>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</si>
  <si>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</si>
  <si>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</si>
  <si>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</si>
  <si>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</si>
  <si>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</si>
  <si>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</si>
  <si>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</si>
  <si>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</si>
  <si>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</si>
  <si>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</si>
  <si>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</si>
  <si>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</si>
  <si>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</si>
  <si>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</si>
  <si>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</si>
  <si>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</si>
  <si>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</si>
  <si>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</si>
  <si>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</si>
  <si>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</si>
  <si>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</si>
  <si>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</si>
  <si>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</si>
  <si>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</si>
  <si>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</si>
  <si>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</si>
  <si>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</si>
  <si>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</si>
  <si>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</si>
  <si>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</si>
  <si>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</si>
  <si>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</si>
  <si>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</si>
  <si>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</si>
  <si>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</si>
  <si>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</si>
  <si>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</si>
  <si>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</si>
  <si>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</si>
  <si>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</si>
  <si>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</si>
  <si>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</si>
  <si>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</si>
  <si>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</si>
  <si>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</si>
  <si>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</si>
  <si>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</si>
  <si>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</si>
  <si>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</si>
  <si>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</si>
  <si>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</si>
  <si>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</si>
  <si>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</si>
  <si>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</si>
  <si>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</si>
  <si>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</si>
  <si>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</si>
  <si>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</si>
  <si>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</si>
  <si>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</si>
  <si>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</si>
  <si>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</si>
  <si>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</si>
  <si>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</si>
  <si>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</si>
  <si>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</si>
  <si>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</si>
  <si>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</si>
  <si>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</si>
  <si>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</si>
  <si>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</si>
  <si>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</si>
  <si>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</si>
  <si>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</si>
  <si>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</si>
  <si>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</si>
  <si>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</si>
  <si>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</si>
  <si>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</si>
  <si>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</si>
  <si>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</si>
  <si>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</si>
  <si>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</si>
  <si>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</si>
  <si>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</si>
  <si>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</si>
  <si>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</si>
  <si>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</si>
  <si>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</si>
  <si>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</si>
  <si>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</si>
  <si>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</si>
  <si>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</si>
  <si>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</si>
  <si>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</si>
  <si>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</si>
  <si>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</si>
  <si>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</si>
  <si>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</si>
  <si>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</si>
  <si>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</si>
  <si>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</si>
  <si>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</si>
  <si>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</si>
  <si>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</si>
  <si>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</si>
  <si>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</si>
  <si>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</si>
  <si>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</si>
  <si>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</si>
  <si>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</si>
  <si>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</si>
  <si>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</si>
  <si>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</si>
  <si>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</si>
  <si>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</si>
  <si>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</si>
  <si>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</si>
  <si>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</si>
  <si>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</si>
  <si>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</si>
  <si>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</si>
  <si>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</si>
  <si>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</si>
  <si>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</si>
  <si>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</si>
  <si>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</si>
  <si>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</si>
  <si>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</si>
  <si>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</si>
  <si>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</si>
  <si>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</si>
  <si>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</si>
  <si>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</si>
  <si>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</si>
  <si>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</si>
  <si>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</si>
  <si>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</si>
  <si>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</si>
  <si>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</si>
  <si>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</si>
  <si>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</si>
  <si>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</si>
  <si>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</si>
  <si>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</si>
  <si>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</si>
  <si>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</si>
  <si>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</si>
  <si>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</si>
  <si>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</si>
  <si>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</si>
  <si>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</si>
  <si>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</si>
  <si>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</si>
  <si>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</si>
  <si>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</si>
  <si>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</si>
  <si>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</si>
  <si>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</si>
  <si>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</si>
  <si>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</si>
  <si>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</si>
  <si>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</si>
  <si>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</si>
  <si>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</si>
  <si>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</si>
  <si>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</si>
  <si>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</si>
  <si>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</si>
  <si>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</si>
  <si>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</si>
  <si>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</si>
  <si>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</si>
  <si>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</si>
  <si>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</si>
  <si>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</si>
  <si>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</si>
  <si>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</si>
  <si>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</si>
  <si>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</si>
  <si>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</si>
  <si>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</si>
  <si>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</si>
  <si>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</si>
  <si>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</si>
  <si>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</si>
  <si>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</si>
  <si>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</si>
  <si>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</si>
  <si>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</si>
  <si>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</si>
  <si>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</si>
  <si>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</si>
  <si>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</si>
  <si>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</si>
  <si>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</si>
  <si>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</si>
  <si>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</si>
  <si>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</si>
  <si>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</si>
  <si>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</si>
  <si>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</si>
  <si>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</si>
  <si>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</si>
  <si>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</si>
  <si>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</si>
  <si>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</si>
  <si>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</si>
  <si>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</si>
  <si>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</si>
  <si>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</si>
  <si>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</si>
  <si>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</si>
  <si>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</si>
  <si>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</si>
  <si>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</si>
  <si>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</si>
  <si>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</si>
  <si>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</si>
  <si>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</si>
  <si>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</si>
  <si>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</si>
  <si>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</si>
  <si>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</si>
  <si>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</si>
  <si>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</si>
  <si>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</si>
  <si>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</si>
  <si>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</si>
  <si>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</si>
  <si>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</si>
  <si>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</si>
  <si>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</si>
  <si>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</si>
  <si>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</si>
  <si>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</si>
  <si>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</si>
  <si>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</si>
  <si>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</si>
  <si>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</si>
  <si>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</si>
  <si>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</si>
  <si>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</si>
  <si>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</si>
  <si>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</si>
  <si>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</si>
  <si>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</si>
  <si>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</si>
  <si>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</si>
  <si>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</si>
  <si>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</si>
  <si>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</si>
  <si>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</si>
  <si>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</si>
  <si>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</si>
  <si>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</si>
  <si>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</si>
  <si>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</si>
  <si>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</si>
  <si>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</si>
  <si>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</si>
  <si>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</si>
  <si>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</si>
  <si>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</si>
  <si>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</si>
  <si>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</si>
  <si>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</si>
  <si>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</si>
  <si>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</si>
  <si>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</si>
  <si>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</si>
  <si>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</si>
  <si>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</si>
  <si>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</si>
  <si>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</si>
  <si>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</si>
  <si>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</si>
  <si>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</si>
  <si>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</si>
  <si>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</si>
  <si>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</si>
  <si>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</si>
  <si>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</si>
  <si>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</si>
  <si>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</si>
  <si>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</si>
  <si>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</si>
  <si>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</si>
  <si>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</si>
  <si>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</si>
  <si>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</si>
  <si>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</si>
  <si>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</si>
  <si>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</si>
  <si>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</si>
  <si>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</si>
  <si>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</si>
  <si>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</si>
  <si>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</si>
  <si>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</si>
  <si>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x</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</si>
  <si>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</si>
  <si>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</si>
  <si>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</si>
  <si>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</si>
  <si>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</si>
  <si>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</si>
  <si>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</si>
  <si>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</si>
  <si>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</si>
  <si>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</si>
  <si>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</si>
  <si>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</si>
  <si>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</si>
  <si>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</si>
  <si>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</si>
  <si>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</si>
  <si>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</si>
  <si>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</si>
  <si>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</si>
  <si>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</si>
  <si>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</si>
  <si>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</si>
  <si>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</si>
  <si>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</si>
  <si>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</si>
  <si>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</si>
  <si>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</si>
  <si>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</si>
  <si>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</si>
  <si>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</si>
  <si>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</si>
  <si>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</si>
  <si>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</si>
  <si>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</si>
  <si>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</si>
  <si>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</si>
  <si>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</si>
  <si>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</si>
  <si>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</si>
  <si>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</si>
  <si>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</si>
  <si>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</si>
  <si>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</si>
  <si>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</si>
  <si>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</si>
  <si>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</si>
  <si>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</si>
  <si>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</si>
  <si>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</si>
  <si>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</si>
  <si>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</si>
  <si>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</si>
  <si>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</si>
  <si>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</si>
  <si>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</si>
  <si>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</si>
  <si>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</si>
  <si>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</si>
  <si>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</si>
  <si>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</si>
  <si>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</si>
  <si>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</si>
  <si>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</si>
  <si>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</si>
  <si>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</si>
  <si>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This program can be used on the Tiny_UniProg and on a "naked" Arduino in a breadboard.|Attention: The "HV Reset" is only possible with the "Tiny_UniProg" board. It is required for programming the servo program.</t>
  </si>
  <si>
    <t>With the Charlieplexing module, up to 12 LEDs can be controlled via only 4 cables. This technique is e.g. used with light signals or traffic lights where there is little space for the connecting cables.|To program the ATTiny85 a programming adapter is required (see above) in which the ATTiny is inserted.</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</si>
  <si>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</si>
  <si>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</si>
  <si>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</si>
  <si>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</si>
  <si>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</si>
  <si>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</si>
  <si>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</si>
  <si>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</si>
  <si>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 xml:space="preserve">Das Servo Modul kann bis zu 3 Servos ansteuern.|Zur Programmierung des ATTiny85 wird ein Programmieradapter benötigt (siehe oben) in der der ATTiny eingesteckt wird.|Achtung: Die Software für das Servo Modul ist noch in der Entwicklung. </t>
  </si>
  <si>
    <t>The servo module can control up to 3 servos. |To program the ATTiny85 a programming adapter is required (see above) in which the ATTiny is inserted. | Attention: The software for the servo module is still under development.</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</si>
  <si>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</si>
  <si>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</si>
  <si>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</si>
  <si>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</si>
  <si>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</si>
  <si>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</si>
  <si>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</si>
  <si>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</si>
  <si>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</si>
  <si>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</si>
  <si>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</si>
  <si>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</si>
  <si>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</si>
  <si>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</si>
  <si>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Ver.: 0.92   18.01.20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</si>
</sst>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9"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8"/>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s>
  <fills count="8">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1" fillId="0" borderId="0"/>
  </cellStyleXfs>
  <cellXfs count="97">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2" fillId="0" borderId="0" xfId="2" applyFont="1"/>
    <xf numFmtId="0" fontId="21" fillId="0" borderId="0" xfId="2"/>
    <xf numFmtId="14" fontId="21" fillId="0" borderId="0" xfId="2" applyNumberFormat="1" applyAlignment="1">
      <alignment horizontal="left"/>
    </xf>
    <xf numFmtId="0" fontId="23" fillId="7" borderId="1" xfId="2" applyFont="1" applyFill="1" applyBorder="1" applyAlignment="1">
      <alignment vertical="center"/>
    </xf>
    <xf numFmtId="0" fontId="23" fillId="7" borderId="1" xfId="2" applyFont="1" applyFill="1" applyBorder="1" applyAlignment="1">
      <alignment vertical="center" textRotation="90"/>
    </xf>
    <xf numFmtId="0" fontId="21" fillId="0" borderId="1" xfId="2" applyBorder="1" applyAlignment="1">
      <alignment horizontal="center" vertical="top"/>
    </xf>
    <xf numFmtId="0" fontId="24" fillId="0" borderId="1" xfId="2" applyFont="1" applyBorder="1" applyAlignment="1">
      <alignment vertical="top"/>
    </xf>
    <xf numFmtId="0" fontId="21" fillId="0" borderId="1" xfId="2" applyBorder="1"/>
    <xf numFmtId="0" fontId="21" fillId="0" borderId="1" xfId="2" applyBorder="1" applyAlignment="1">
      <alignment wrapText="1"/>
    </xf>
    <xf numFmtId="0" fontId="21" fillId="0" borderId="1" xfId="2" applyBorder="1" applyAlignment="1">
      <alignment vertical="top"/>
    </xf>
    <xf numFmtId="0" fontId="25" fillId="0" borderId="1" xfId="2" applyFont="1" applyBorder="1" applyAlignment="1">
      <alignment vertical="top"/>
    </xf>
    <xf numFmtId="0" fontId="25" fillId="0" borderId="1" xfId="2" applyFont="1" applyBorder="1" applyAlignment="1">
      <alignment wrapText="1"/>
    </xf>
    <xf numFmtId="0" fontId="23" fillId="7" borderId="1" xfId="2" applyFont="1" applyFill="1" applyBorder="1" applyAlignment="1">
      <alignment horizontal="center" vertical="top" wrapText="1"/>
    </xf>
    <xf numFmtId="0" fontId="23" fillId="7" borderId="1" xfId="2" applyFont="1" applyFill="1" applyBorder="1" applyAlignment="1">
      <alignment horizontal="left" vertical="top" wrapText="1"/>
    </xf>
    <xf numFmtId="0" fontId="21" fillId="0" borderId="0" xfId="2" applyAlignment="1">
      <alignment horizontal="center"/>
    </xf>
    <xf numFmtId="0" fontId="21" fillId="0" borderId="0" xfId="2" applyFont="1" applyAlignment="1">
      <alignment horizontal="center"/>
    </xf>
    <xf numFmtId="0" fontId="21" fillId="0" borderId="0" xfId="2" applyFont="1" applyAlignment="1">
      <alignment horizontal="left"/>
    </xf>
    <xf numFmtId="0" fontId="21" fillId="0" borderId="0" xfId="2" applyAlignment="1">
      <alignment horizontal="left"/>
    </xf>
    <xf numFmtId="0" fontId="21" fillId="0" borderId="0" xfId="2" applyFont="1"/>
    <xf numFmtId="0" fontId="26" fillId="0" borderId="0" xfId="2" applyFont="1" applyAlignment="1">
      <alignment horizontal="left"/>
    </xf>
    <xf numFmtId="0" fontId="26" fillId="0" borderId="0" xfId="2" applyFont="1"/>
    <xf numFmtId="0" fontId="21" fillId="0" borderId="0" xfId="0" applyFont="1" applyAlignment="1">
      <alignment horizontal="left"/>
    </xf>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3" fillId="7" borderId="1" xfId="2" applyFont="1" applyFill="1" applyBorder="1" applyAlignment="1">
      <alignment horizontal="center" vertical="center" textRotation="90"/>
    </xf>
    <xf numFmtId="0" fontId="28" fillId="0" borderId="0" xfId="2" applyFont="1"/>
    <xf numFmtId="0" fontId="0" fillId="0" borderId="0" xfId="0" applyAlignment="1">
      <alignment vertical="center"/>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123825</xdr:colOff>
      <xdr:row>0</xdr:row>
      <xdr:rowOff>9525</xdr:rowOff>
    </xdr:from>
    <xdr:to>
      <xdr:col>30</xdr:col>
      <xdr:colOff>476784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D1" sqref="D1"/>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3:73" ht="21" x14ac:dyDescent="0.3">
      <c r="C1" s="39"/>
      <c r="D1" s="24" t="s">
        <v>421</v>
      </c>
      <c r="E1" s="38"/>
      <c r="F1" s="19"/>
      <c r="G1" s="19"/>
      <c r="H1" s="19"/>
      <c r="I1" s="19"/>
      <c r="J1" s="19"/>
      <c r="K1" s="37"/>
      <c r="L1" s="19"/>
      <c r="M1" s="19"/>
      <c r="N1" s="19"/>
      <c r="O1" s="19"/>
      <c r="P1" s="19"/>
      <c r="Q1" s="19"/>
      <c r="R1" s="19"/>
      <c r="S1" s="19"/>
      <c r="T1" s="19"/>
      <c r="U1" s="19"/>
      <c r="V1" s="19"/>
      <c r="W1" s="19"/>
      <c r="X1" s="19"/>
      <c r="Y1" s="19"/>
      <c r="Z1" s="19"/>
      <c r="AA1" s="19"/>
      <c r="AB1" s="19"/>
      <c r="AC1" s="93" t="s">
        <v>384</v>
      </c>
      <c r="AD1" s="93">
        <v>-4</v>
      </c>
      <c r="AE1" s="93"/>
      <c r="AF1" s="93"/>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3:73" x14ac:dyDescent="0.3">
      <c r="D2" s="1" t="s">
        <v>1</v>
      </c>
      <c r="E2" s="40">
        <v>0</v>
      </c>
      <c r="F2" s="4" t="str">
        <f>IF(E2="","&lt;= Bitte erste RGB LED des Musters eingeben","")</f>
        <v/>
      </c>
      <c r="H2" s="19"/>
      <c r="I2" s="19"/>
      <c r="J2" s="61"/>
      <c r="K2" s="61"/>
      <c r="L2" s="61"/>
      <c r="M2" s="62"/>
      <c r="N2" s="63"/>
      <c r="O2" s="61"/>
      <c r="P2" s="6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3:73" x14ac:dyDescent="0.3">
      <c r="D3" s="1" t="s">
        <v>7</v>
      </c>
      <c r="E3" s="40">
        <v>0</v>
      </c>
      <c r="F3" s="4" t="str">
        <f>IF(OR(AND(E3 &lt;&gt;"",E3=0),E3=1,E3=2),"","&lt;= Bitte Startkanal innerhalb der RGB LED angeben")</f>
        <v/>
      </c>
      <c r="H3" s="19"/>
      <c r="I3" s="19"/>
      <c r="J3" s="61"/>
      <c r="K3" s="61"/>
      <c r="L3" s="61"/>
      <c r="M3" s="62"/>
      <c r="N3" s="63"/>
      <c r="O3" s="61"/>
      <c r="P3" s="6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3:73" x14ac:dyDescent="0.3">
      <c r="D4" s="1" t="s">
        <v>2</v>
      </c>
      <c r="E4" s="40" t="s">
        <v>24</v>
      </c>
      <c r="F4" s="4" t="str">
        <f>IF(E4="","&lt;= Bitte Nummer des Schalters eingeben","")</f>
        <v/>
      </c>
      <c r="H4" s="19"/>
      <c r="I4" s="19"/>
      <c r="J4" s="61"/>
      <c r="K4" s="61"/>
      <c r="L4" s="64"/>
      <c r="M4" s="62"/>
      <c r="N4" s="63"/>
      <c r="O4" s="61"/>
      <c r="P4" s="6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3:73" x14ac:dyDescent="0.3">
      <c r="D5" s="1" t="s">
        <v>3</v>
      </c>
      <c r="E5" s="40">
        <v>2</v>
      </c>
      <c r="F5" s="4" t="str">
        <f>IF(AND(ISNUMBER(Kanaele),Kanaele&gt;0,Kanaele&lt;=100),"","&lt;- Bitte Anzahl der Kanäle eingeben(1..100)")</f>
        <v/>
      </c>
      <c r="H5" s="19"/>
      <c r="I5" s="19"/>
      <c r="J5" s="61"/>
      <c r="K5" s="61"/>
      <c r="L5" s="61"/>
      <c r="M5" s="61"/>
      <c r="N5" s="61"/>
      <c r="O5" s="61"/>
      <c r="P5" s="6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3:73" x14ac:dyDescent="0.3">
      <c r="D6" s="1" t="s">
        <v>36</v>
      </c>
      <c r="E6" s="40">
        <v>1</v>
      </c>
      <c r="F6" t="str">
        <f>CONCATENATE("  =&gt; ",2^Bits_pro_Wert," Helligkeitsstufen (0..",2^Bits_pro_Wert-1,")")</f>
        <v xml:space="preserve">  =&gt; 2 Helligkeitsstufen (0..1)</v>
      </c>
      <c r="H6" s="19"/>
      <c r="I6" s="19"/>
      <c r="J6" s="61"/>
      <c r="K6" s="61"/>
      <c r="L6" s="61"/>
      <c r="M6" s="61"/>
      <c r="N6" s="61"/>
      <c r="O6" s="61"/>
      <c r="P6" s="6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3:73" x14ac:dyDescent="0.3">
      <c r="D7" s="1" t="s">
        <v>16</v>
      </c>
      <c r="E7" s="40">
        <v>0</v>
      </c>
      <c r="F7" s="4" t="str">
        <f>IF(OR(E7="",E7&lt;0,E7&gt;255),"&lt;= Bitte Wert für nicht aktive LED angeben (0..255)","")</f>
        <v/>
      </c>
      <c r="H7" s="19"/>
      <c r="I7" s="19"/>
      <c r="J7" s="61"/>
      <c r="K7" s="61"/>
      <c r="L7" s="61"/>
      <c r="M7" s="61"/>
      <c r="N7" s="61"/>
      <c r="O7" s="61"/>
      <c r="P7" s="6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3: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3: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3:73" x14ac:dyDescent="0.3">
      <c r="D10" s="1" t="s">
        <v>13</v>
      </c>
      <c r="E10" s="40"/>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3:73" x14ac:dyDescent="0.3">
      <c r="D11" s="1" t="s">
        <v>50</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3:73" x14ac:dyDescent="0.3">
      <c r="D12" s="1" t="s">
        <v>165</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3:73" hidden="1" x14ac:dyDescent="0.3">
      <c r="D13" s="91" t="s">
        <v>290</v>
      </c>
      <c r="E13" s="92"/>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3:73" x14ac:dyDescent="0.3">
      <c r="D14" s="1" t="s">
        <v>51</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3:73" x14ac:dyDescent="0.3">
      <c r="D15" s="1" t="s">
        <v>334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3:73" hidden="1" x14ac:dyDescent="0.3">
      <c r="D16" s="1" t="s">
        <v>335</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336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337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69</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9" t="str">
        <f>IF(Zeiten=",!Empty","Bitte Dauer eintragen =&gt;","")</f>
        <v/>
      </c>
      <c r="E28" s="47" t="s">
        <v>70</v>
      </c>
      <c r="F28" s="35" t="s">
        <v>288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90"/>
      <c r="AK28" s="90"/>
      <c r="AL28" s="89"/>
      <c r="AM28" s="89"/>
      <c r="AN28" s="89"/>
      <c r="AO28" s="89"/>
      <c r="AP28" s="89"/>
      <c r="AQ28" s="89"/>
      <c r="AR28" s="89"/>
      <c r="AS28" s="89"/>
      <c r="AT28" s="89"/>
      <c r="AU28" s="89"/>
      <c r="AV28" s="89"/>
      <c r="AW28" s="89"/>
      <c r="AX28" s="89"/>
      <c r="AY28" s="89"/>
      <c r="AZ28" s="89"/>
      <c r="BA28" s="89"/>
      <c r="BB28" s="89"/>
      <c r="BC28" s="89"/>
      <c r="BD28" s="89"/>
      <c r="BE28" s="89"/>
      <c r="BF28" s="89"/>
      <c r="BG28" s="89"/>
      <c r="BH28" s="89"/>
      <c r="BI28" s="89"/>
      <c r="BJ28" s="89"/>
      <c r="BK28" s="89"/>
      <c r="BL28" s="89"/>
      <c r="BM28" s="89"/>
      <c r="BN28" s="89"/>
      <c r="BO28" s="89"/>
      <c r="BP28" s="89"/>
      <c r="BQ28" s="89"/>
      <c r="BR28" s="89"/>
      <c r="BS28" s="89"/>
      <c r="BT28" s="89"/>
      <c r="BU28" s="89"/>
      <c r="BV28" s="89"/>
      <c r="BW28" s="89"/>
      <c r="BX28" s="89"/>
      <c r="BY28" s="89"/>
      <c r="BZ28" s="89"/>
      <c r="CA28" s="89"/>
      <c r="CB28" s="89"/>
      <c r="CC28" s="89"/>
      <c r="CD28" s="89"/>
      <c r="CE28" s="89"/>
      <c r="CF28" s="89"/>
      <c r="CG28" s="89"/>
      <c r="CH28" s="89"/>
      <c r="CI28" s="89"/>
      <c r="CJ28" s="89"/>
      <c r="CK28" s="89"/>
      <c r="CL28" s="89"/>
      <c r="CM28" s="89"/>
      <c r="CN28" s="89"/>
      <c r="CO28" s="89"/>
      <c r="CP28" s="89"/>
      <c r="CQ28" s="89"/>
      <c r="CR28" s="89"/>
      <c r="CS28" s="89"/>
      <c r="CT28" s="89"/>
      <c r="CU28" s="89"/>
      <c r="CV28" s="89"/>
      <c r="CW28" s="89"/>
      <c r="CX28" s="89"/>
      <c r="CY28" s="89"/>
      <c r="CZ28" s="89"/>
      <c r="DA28" s="89"/>
      <c r="DB28" s="89"/>
      <c r="DC28" s="89"/>
      <c r="DD28" s="89"/>
      <c r="DE28" s="89"/>
      <c r="DF28" s="89"/>
      <c r="DG28" s="89"/>
      <c r="DH28" s="89"/>
      <c r="DI28" s="89"/>
      <c r="DJ28" s="89"/>
      <c r="DK28" s="89"/>
      <c r="DL28" s="89"/>
      <c r="DM28" s="89"/>
      <c r="DN28" s="89"/>
      <c r="DO28" s="89"/>
      <c r="DP28" s="89"/>
      <c r="DQ28" s="89"/>
      <c r="DR28" s="89"/>
      <c r="DS28" s="89"/>
      <c r="DT28" s="89"/>
      <c r="DU28" s="89"/>
      <c r="DV28" s="89"/>
      <c r="DW28" s="89"/>
      <c r="DX28" s="89"/>
      <c r="DY28" s="89"/>
      <c r="DZ28" s="89"/>
      <c r="EA28" s="89"/>
      <c r="EB28" s="89"/>
      <c r="EC28" s="89"/>
      <c r="ED28" s="89"/>
      <c r="EE28" s="89"/>
      <c r="EF28" s="89"/>
      <c r="EG28" s="89"/>
      <c r="EH28" s="89"/>
      <c r="EI28" s="89"/>
      <c r="EJ28" s="89"/>
      <c r="EK28" s="89"/>
      <c r="EL28" s="89"/>
      <c r="EM28" s="89"/>
      <c r="EN28" s="89"/>
      <c r="EO28" s="89"/>
      <c r="EP28" s="89"/>
      <c r="EQ28" s="89"/>
      <c r="ER28" s="89"/>
      <c r="ES28" s="89"/>
      <c r="ET28" s="89"/>
      <c r="EU28" s="89"/>
      <c r="EV28" s="89"/>
      <c r="EW28" s="89"/>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420</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29</v>
      </c>
      <c r="E35" s="11" t="str">
        <f>IF(Goto_Mode=1,"SI_LocalVar",SchalterNr)</f>
        <v>SI_1</v>
      </c>
      <c r="G35" s="26" t="s">
        <v>30</v>
      </c>
      <c r="H35" s="2" t="str">
        <f>IF(Goto_Mode=1,"",",InCh")</f>
        <v>,InCh</v>
      </c>
      <c r="I35" s="26" t="s">
        <v>31</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28</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87">
        <f>E44+TimerBytes+DataBytes</f>
        <v>14</v>
      </c>
      <c r="F46" s="88"/>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32</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 ca="1">IF(COUNTA(INDIRECT(CONCATENATE(CELL("adresse",F50), ":", ADDRESS(CELL("zeile", F50)+$E$5-1,153))))=0,"Bitte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72</v>
      </c>
      <c r="E49" s="7" t="s">
        <v>71</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26</v>
      </c>
      <c r="F50" s="43" t="s">
        <v>329</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27</v>
      </c>
      <c r="F51" s="43"/>
      <c r="G51" s="43" t="s">
        <v>329</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30480</xdr:rowOff>
              </from>
              <to>
                <xdr:col>1</xdr:col>
                <xdr:colOff>594360</xdr:colOff>
                <xdr:row>47</xdr:row>
                <xdr:rowOff>68580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594360</xdr:colOff>
                <xdr:row>53</xdr:row>
                <xdr:rowOff>129540</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56"/>
  <sheetViews>
    <sheetView topLeftCell="A148" workbookViewId="0">
      <selection activeCell="C151" sqref="C151"/>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48"/>
      <c r="B1" s="48"/>
      <c r="C1" s="48"/>
      <c r="D1" s="48"/>
      <c r="E1" s="48"/>
    </row>
    <row r="2" spans="1:5" x14ac:dyDescent="0.3">
      <c r="A2" s="49" t="s">
        <v>54</v>
      </c>
      <c r="B2" s="49" t="s">
        <v>73</v>
      </c>
      <c r="C2" s="51" t="s">
        <v>52</v>
      </c>
      <c r="D2" s="51" t="s">
        <v>53</v>
      </c>
      <c r="E2" s="48"/>
    </row>
    <row r="3" spans="1:5" x14ac:dyDescent="0.3">
      <c r="A3" s="50" t="s">
        <v>74</v>
      </c>
      <c r="B3" s="50" t="s">
        <v>56</v>
      </c>
      <c r="C3" s="48" t="s">
        <v>1</v>
      </c>
      <c r="D3" s="48" t="s">
        <v>33</v>
      </c>
      <c r="E3" s="48"/>
    </row>
    <row r="4" spans="1:5" x14ac:dyDescent="0.3">
      <c r="A4" s="50" t="s">
        <v>74</v>
      </c>
      <c r="B4" s="50" t="s">
        <v>57</v>
      </c>
      <c r="C4" s="48" t="s">
        <v>7</v>
      </c>
      <c r="D4" s="48" t="s">
        <v>34</v>
      </c>
      <c r="E4" s="48"/>
    </row>
    <row r="5" spans="1:5" x14ac:dyDescent="0.3">
      <c r="A5" s="50" t="s">
        <v>74</v>
      </c>
      <c r="B5" s="50" t="s">
        <v>58</v>
      </c>
      <c r="C5" s="48" t="s">
        <v>2</v>
      </c>
      <c r="D5" s="48" t="s">
        <v>35</v>
      </c>
      <c r="E5" s="48"/>
    </row>
    <row r="6" spans="1:5" x14ac:dyDescent="0.3">
      <c r="A6" s="50" t="s">
        <v>74</v>
      </c>
      <c r="B6" s="50" t="s">
        <v>59</v>
      </c>
      <c r="C6" s="48" t="s">
        <v>3</v>
      </c>
      <c r="D6" s="48" t="s">
        <v>37</v>
      </c>
      <c r="E6" s="48"/>
    </row>
    <row r="7" spans="1:5" x14ac:dyDescent="0.3">
      <c r="A7" s="50" t="s">
        <v>74</v>
      </c>
      <c r="B7" s="50" t="s">
        <v>60</v>
      </c>
      <c r="C7" s="48" t="s">
        <v>36</v>
      </c>
      <c r="D7" s="48" t="s">
        <v>38</v>
      </c>
      <c r="E7" s="48"/>
    </row>
    <row r="8" spans="1:5" x14ac:dyDescent="0.3">
      <c r="A8" s="50" t="s">
        <v>74</v>
      </c>
      <c r="B8" s="50" t="s">
        <v>61</v>
      </c>
      <c r="C8" s="48" t="s">
        <v>16</v>
      </c>
      <c r="D8" s="48" t="s">
        <v>39</v>
      </c>
      <c r="E8" s="48"/>
    </row>
    <row r="9" spans="1:5" x14ac:dyDescent="0.3">
      <c r="A9" s="50" t="s">
        <v>74</v>
      </c>
      <c r="B9" s="50" t="s">
        <v>62</v>
      </c>
      <c r="C9" s="48" t="s">
        <v>15</v>
      </c>
      <c r="D9" s="48" t="s">
        <v>40</v>
      </c>
      <c r="E9" s="48"/>
    </row>
    <row r="10" spans="1:5" x14ac:dyDescent="0.3">
      <c r="A10" s="50" t="s">
        <v>74</v>
      </c>
      <c r="B10" s="50" t="s">
        <v>63</v>
      </c>
      <c r="C10" s="48" t="s">
        <v>4</v>
      </c>
      <c r="D10" s="48" t="s">
        <v>41</v>
      </c>
      <c r="E10" s="48"/>
    </row>
    <row r="11" spans="1:5" x14ac:dyDescent="0.3">
      <c r="A11" s="50" t="s">
        <v>74</v>
      </c>
      <c r="B11" s="50" t="s">
        <v>64</v>
      </c>
      <c r="C11" s="48" t="s">
        <v>13</v>
      </c>
      <c r="D11" s="48" t="s">
        <v>13</v>
      </c>
      <c r="E11" s="48"/>
    </row>
    <row r="12" spans="1:5" x14ac:dyDescent="0.3">
      <c r="A12" s="50" t="s">
        <v>74</v>
      </c>
      <c r="B12" s="50" t="s">
        <v>65</v>
      </c>
      <c r="C12" s="48" t="s">
        <v>50</v>
      </c>
      <c r="D12" s="48" t="s">
        <v>42</v>
      </c>
      <c r="E12" s="48"/>
    </row>
    <row r="13" spans="1:5" x14ac:dyDescent="0.3">
      <c r="A13" s="50" t="s">
        <v>74</v>
      </c>
      <c r="B13" s="50" t="s">
        <v>66</v>
      </c>
      <c r="C13" s="48" t="s">
        <v>165</v>
      </c>
      <c r="D13" s="48" t="s">
        <v>166</v>
      </c>
      <c r="E13" s="48"/>
    </row>
    <row r="14" spans="1:5" x14ac:dyDescent="0.3">
      <c r="A14" s="50" t="s">
        <v>74</v>
      </c>
      <c r="B14" s="50" t="s">
        <v>67</v>
      </c>
      <c r="C14" s="48" t="s">
        <v>290</v>
      </c>
      <c r="D14" s="48" t="s">
        <v>293</v>
      </c>
      <c r="E14" s="48"/>
    </row>
    <row r="15" spans="1:5" x14ac:dyDescent="0.3">
      <c r="A15" s="50" t="s">
        <v>74</v>
      </c>
      <c r="B15" s="50" t="s">
        <v>291</v>
      </c>
      <c r="C15" s="48" t="s">
        <v>51</v>
      </c>
      <c r="D15" s="48" t="s">
        <v>43</v>
      </c>
      <c r="E15" s="48"/>
    </row>
    <row r="16" spans="1:5" x14ac:dyDescent="0.3">
      <c r="A16" s="50" t="s">
        <v>74</v>
      </c>
      <c r="B16" s="50" t="s">
        <v>339</v>
      </c>
      <c r="C16" t="s">
        <v>334</v>
      </c>
      <c r="D16" t="s">
        <v>348</v>
      </c>
    </row>
    <row r="17" spans="1:5" x14ac:dyDescent="0.3">
      <c r="A17" s="50" t="s">
        <v>74</v>
      </c>
      <c r="B17" s="50" t="s">
        <v>292</v>
      </c>
      <c r="C17" t="s">
        <v>335</v>
      </c>
      <c r="D17" t="s">
        <v>349</v>
      </c>
    </row>
    <row r="18" spans="1:5" x14ac:dyDescent="0.3">
      <c r="A18" s="50" t="s">
        <v>74</v>
      </c>
      <c r="B18" s="50" t="s">
        <v>340</v>
      </c>
      <c r="C18" t="s">
        <v>336</v>
      </c>
      <c r="D18" t="s">
        <v>350</v>
      </c>
    </row>
    <row r="19" spans="1:5" x14ac:dyDescent="0.3">
      <c r="A19" s="50" t="s">
        <v>74</v>
      </c>
      <c r="B19" s="50" t="s">
        <v>68</v>
      </c>
      <c r="C19" s="48" t="s">
        <v>337</v>
      </c>
      <c r="D19" s="48" t="s">
        <v>351</v>
      </c>
      <c r="E19" s="48"/>
    </row>
    <row r="20" spans="1:5" x14ac:dyDescent="0.3">
      <c r="A20" s="50" t="s">
        <v>74</v>
      </c>
      <c r="B20" s="50" t="s">
        <v>341</v>
      </c>
      <c r="C20" s="48" t="s">
        <v>0</v>
      </c>
      <c r="D20" s="48" t="s">
        <v>44</v>
      </c>
      <c r="E20" s="48"/>
    </row>
    <row r="21" spans="1:5" x14ac:dyDescent="0.3">
      <c r="A21" s="50" t="s">
        <v>74</v>
      </c>
      <c r="B21" s="50" t="s">
        <v>342</v>
      </c>
      <c r="C21" s="48" t="s">
        <v>9</v>
      </c>
      <c r="D21" s="48" t="s">
        <v>45</v>
      </c>
      <c r="E21" s="48"/>
    </row>
    <row r="22" spans="1:5" x14ac:dyDescent="0.3">
      <c r="A22" s="50" t="s">
        <v>74</v>
      </c>
      <c r="B22" s="50" t="s">
        <v>343</v>
      </c>
      <c r="C22" s="48" t="s">
        <v>8</v>
      </c>
      <c r="D22" s="48" t="s">
        <v>55</v>
      </c>
      <c r="E22" s="48"/>
    </row>
    <row r="23" spans="1:5" x14ac:dyDescent="0.3">
      <c r="A23" s="50"/>
      <c r="B23" s="50"/>
      <c r="C23" s="48"/>
      <c r="D23" s="48"/>
      <c r="E23" s="48"/>
    </row>
    <row r="24" spans="1:5" ht="43.2" x14ac:dyDescent="0.3">
      <c r="A24" s="50" t="s">
        <v>74</v>
      </c>
      <c r="B24" s="50" t="s">
        <v>344</v>
      </c>
      <c r="C24" s="48" t="s">
        <v>69</v>
      </c>
      <c r="D24" s="52" t="s">
        <v>46</v>
      </c>
      <c r="E24" s="48"/>
    </row>
    <row r="25" spans="1:5" x14ac:dyDescent="0.3">
      <c r="A25" s="50" t="s">
        <v>74</v>
      </c>
      <c r="B25" s="50" t="s">
        <v>402</v>
      </c>
      <c r="C25" s="48" t="s">
        <v>70</v>
      </c>
      <c r="D25" s="48" t="s">
        <v>47</v>
      </c>
      <c r="E25" s="48"/>
    </row>
    <row r="26" spans="1:5" x14ac:dyDescent="0.3">
      <c r="A26" s="50" t="s">
        <v>74</v>
      </c>
      <c r="B26" s="50" t="s">
        <v>345</v>
      </c>
      <c r="C26" s="48" t="s">
        <v>71</v>
      </c>
      <c r="D26" s="48" t="s">
        <v>48</v>
      </c>
      <c r="E26" s="48"/>
    </row>
    <row r="27" spans="1:5" x14ac:dyDescent="0.3">
      <c r="A27" s="50" t="s">
        <v>74</v>
      </c>
      <c r="B27" s="50" t="s">
        <v>346</v>
      </c>
      <c r="C27" s="48" t="s">
        <v>72</v>
      </c>
      <c r="D27" s="48" t="s">
        <v>49</v>
      </c>
      <c r="E27" s="48"/>
    </row>
    <row r="28" spans="1:5" x14ac:dyDescent="0.3">
      <c r="A28" s="50" t="s">
        <v>74</v>
      </c>
      <c r="B28" s="50" t="s">
        <v>347</v>
      </c>
      <c r="C28" s="48" t="s">
        <v>32</v>
      </c>
      <c r="D28" s="48" t="s">
        <v>167</v>
      </c>
      <c r="E28" s="48"/>
    </row>
    <row r="29" spans="1:5" x14ac:dyDescent="0.3">
      <c r="A29" s="50"/>
      <c r="B29" s="50"/>
      <c r="C29" s="48"/>
      <c r="D29" s="48"/>
      <c r="E29" s="48"/>
    </row>
    <row r="30" spans="1:5" x14ac:dyDescent="0.3">
      <c r="A30" s="49"/>
      <c r="B30" s="49" t="s">
        <v>82</v>
      </c>
      <c r="C30" s="49"/>
      <c r="D30" s="49"/>
      <c r="E30" s="48"/>
    </row>
    <row r="31" spans="1:5" x14ac:dyDescent="0.3">
      <c r="A31" s="50" t="s">
        <v>75</v>
      </c>
      <c r="B31" s="50" t="s">
        <v>76</v>
      </c>
      <c r="C31" s="48" t="s">
        <v>77</v>
      </c>
      <c r="D31" s="48" t="s">
        <v>80</v>
      </c>
      <c r="E31" s="48"/>
    </row>
    <row r="32" spans="1:5" x14ac:dyDescent="0.3">
      <c r="A32" s="50" t="s">
        <v>75</v>
      </c>
      <c r="B32" s="50" t="s">
        <v>78</v>
      </c>
      <c r="C32" s="48" t="s">
        <v>79</v>
      </c>
      <c r="D32" s="48" t="s">
        <v>81</v>
      </c>
      <c r="E32" s="48"/>
    </row>
    <row r="33" spans="1:5" x14ac:dyDescent="0.3">
      <c r="A33" s="50"/>
      <c r="B33" s="50"/>
      <c r="C33" s="48"/>
      <c r="D33" s="48"/>
      <c r="E33" s="48"/>
    </row>
    <row r="34" spans="1:5" x14ac:dyDescent="0.3">
      <c r="A34" s="49"/>
      <c r="B34" s="49" t="s">
        <v>164</v>
      </c>
      <c r="C34" s="49"/>
      <c r="D34" s="49"/>
      <c r="E34" s="48"/>
    </row>
    <row r="35" spans="1:5" ht="43.2" x14ac:dyDescent="0.3">
      <c r="A35" s="50" t="s">
        <v>83</v>
      </c>
      <c r="B35" s="50" t="s">
        <v>56</v>
      </c>
      <c r="C35" s="52" t="s">
        <v>84</v>
      </c>
      <c r="D35" s="52" t="s">
        <v>101</v>
      </c>
      <c r="E35" s="48"/>
    </row>
    <row r="36" spans="1:5" ht="28.8" x14ac:dyDescent="0.3">
      <c r="A36" s="50" t="s">
        <v>83</v>
      </c>
      <c r="B36" s="50" t="s">
        <v>57</v>
      </c>
      <c r="C36" s="52" t="s">
        <v>85</v>
      </c>
      <c r="D36" s="52" t="s">
        <v>95</v>
      </c>
      <c r="E36" s="48"/>
    </row>
    <row r="37" spans="1:5" ht="43.2" x14ac:dyDescent="0.3">
      <c r="A37" s="50" t="s">
        <v>83</v>
      </c>
      <c r="B37" s="50" t="s">
        <v>58</v>
      </c>
      <c r="C37" s="52" t="s">
        <v>284</v>
      </c>
      <c r="D37" s="52" t="s">
        <v>285</v>
      </c>
      <c r="E37" s="48"/>
    </row>
    <row r="38" spans="1:5" ht="57.6" x14ac:dyDescent="0.3">
      <c r="A38" s="50" t="s">
        <v>83</v>
      </c>
      <c r="B38" s="50" t="s">
        <v>59</v>
      </c>
      <c r="C38" s="52" t="s">
        <v>86</v>
      </c>
      <c r="D38" s="52" t="s">
        <v>100</v>
      </c>
      <c r="E38" s="48"/>
    </row>
    <row r="39" spans="1:5" x14ac:dyDescent="0.3">
      <c r="A39" s="50" t="s">
        <v>83</v>
      </c>
      <c r="B39" s="50" t="s">
        <v>60</v>
      </c>
      <c r="C39" s="48" t="s">
        <v>87</v>
      </c>
      <c r="D39" s="48" t="s">
        <v>96</v>
      </c>
      <c r="E39" s="48"/>
    </row>
    <row r="40" spans="1:5" ht="72" x14ac:dyDescent="0.3">
      <c r="A40" s="50" t="s">
        <v>83</v>
      </c>
      <c r="B40" s="50" t="s">
        <v>61</v>
      </c>
      <c r="C40" s="52" t="s">
        <v>88</v>
      </c>
      <c r="D40" s="52" t="s">
        <v>99</v>
      </c>
      <c r="E40" s="48"/>
    </row>
    <row r="41" spans="1:5" ht="86.4" x14ac:dyDescent="0.3">
      <c r="A41" s="50" t="s">
        <v>83</v>
      </c>
      <c r="B41" s="50" t="s">
        <v>62</v>
      </c>
      <c r="C41" s="52" t="s">
        <v>89</v>
      </c>
      <c r="D41" s="52" t="s">
        <v>98</v>
      </c>
      <c r="E41" s="48"/>
    </row>
    <row r="42" spans="1:5" ht="129.6" x14ac:dyDescent="0.3">
      <c r="A42" s="50" t="s">
        <v>83</v>
      </c>
      <c r="B42" s="50" t="s">
        <v>63</v>
      </c>
      <c r="C42" s="52" t="s">
        <v>90</v>
      </c>
      <c r="D42" s="52" t="s">
        <v>97</v>
      </c>
      <c r="E42" s="48"/>
    </row>
    <row r="43" spans="1:5" ht="316.8" x14ac:dyDescent="0.3">
      <c r="A43" s="48" t="s">
        <v>83</v>
      </c>
      <c r="B43" s="50" t="s">
        <v>64</v>
      </c>
      <c r="C43" s="52" t="s">
        <v>94</v>
      </c>
      <c r="D43" s="53" t="s">
        <v>102</v>
      </c>
      <c r="E43" s="48"/>
    </row>
    <row r="44" spans="1:5" ht="216" x14ac:dyDescent="0.3">
      <c r="A44" s="48" t="s">
        <v>83</v>
      </c>
      <c r="B44" s="50" t="s">
        <v>65</v>
      </c>
      <c r="C44" s="52" t="s">
        <v>91</v>
      </c>
      <c r="D44" s="52" t="s">
        <v>103</v>
      </c>
      <c r="E44" s="48"/>
    </row>
    <row r="45" spans="1:5" x14ac:dyDescent="0.3">
      <c r="A45" s="48" t="s">
        <v>83</v>
      </c>
      <c r="B45" s="50" t="s">
        <v>66</v>
      </c>
      <c r="C45" s="48" t="s">
        <v>92</v>
      </c>
      <c r="D45" s="48" t="s">
        <v>104</v>
      </c>
      <c r="E45" s="48"/>
    </row>
    <row r="46" spans="1:5" ht="244.8" x14ac:dyDescent="0.3">
      <c r="A46" s="48" t="s">
        <v>83</v>
      </c>
      <c r="B46" s="50" t="s">
        <v>291</v>
      </c>
      <c r="C46" s="52" t="s">
        <v>106</v>
      </c>
      <c r="D46" s="52" t="s">
        <v>105</v>
      </c>
      <c r="E46" s="48"/>
    </row>
    <row r="47" spans="1:5" ht="72" x14ac:dyDescent="0.3">
      <c r="A47" s="48" t="s">
        <v>83</v>
      </c>
      <c r="B47" s="50" t="s">
        <v>339</v>
      </c>
      <c r="C47" s="52" t="s">
        <v>354</v>
      </c>
      <c r="D47" s="52" t="s">
        <v>355</v>
      </c>
      <c r="E47" s="48"/>
    </row>
    <row r="48" spans="1:5" ht="115.2" x14ac:dyDescent="0.3">
      <c r="A48" s="48" t="s">
        <v>83</v>
      </c>
      <c r="B48" s="50" t="s">
        <v>292</v>
      </c>
      <c r="C48" s="52" t="s">
        <v>356</v>
      </c>
      <c r="D48" s="52" t="s">
        <v>357</v>
      </c>
      <c r="E48" s="48"/>
    </row>
    <row r="49" spans="1:5" ht="129.6" x14ac:dyDescent="0.3">
      <c r="A49" s="48" t="s">
        <v>83</v>
      </c>
      <c r="B49" s="50" t="s">
        <v>340</v>
      </c>
      <c r="C49" s="52" t="s">
        <v>378</v>
      </c>
      <c r="D49" s="52" t="s">
        <v>377</v>
      </c>
      <c r="E49" s="48"/>
    </row>
    <row r="50" spans="1:5" ht="129.6" x14ac:dyDescent="0.3">
      <c r="A50" s="48" t="s">
        <v>83</v>
      </c>
      <c r="B50" s="50" t="s">
        <v>68</v>
      </c>
      <c r="C50" s="52" t="s">
        <v>380</v>
      </c>
      <c r="D50" s="52" t="s">
        <v>381</v>
      </c>
      <c r="E50" s="48"/>
    </row>
    <row r="51" spans="1:5" x14ac:dyDescent="0.3">
      <c r="A51" s="48" t="s">
        <v>83</v>
      </c>
      <c r="B51" s="50" t="s">
        <v>341</v>
      </c>
      <c r="C51" s="48" t="s">
        <v>93</v>
      </c>
      <c r="D51" s="48" t="s">
        <v>107</v>
      </c>
      <c r="E51" s="48"/>
    </row>
    <row r="52" spans="1:5" ht="316.8" x14ac:dyDescent="0.3">
      <c r="A52" s="48" t="s">
        <v>83</v>
      </c>
      <c r="B52" s="50" t="s">
        <v>347</v>
      </c>
      <c r="C52" s="52" t="s">
        <v>401</v>
      </c>
      <c r="D52" s="52" t="s">
        <v>108</v>
      </c>
      <c r="E52" s="48"/>
    </row>
    <row r="53" spans="1:5" x14ac:dyDescent="0.3">
      <c r="A53" s="48"/>
      <c r="B53" s="50"/>
      <c r="C53" s="52"/>
      <c r="D53" s="52"/>
      <c r="E53" s="48"/>
    </row>
    <row r="54" spans="1:5" x14ac:dyDescent="0.3">
      <c r="A54" s="49"/>
      <c r="B54" s="49"/>
      <c r="C54" s="49"/>
      <c r="D54" s="49"/>
      <c r="E54" s="48"/>
    </row>
    <row r="55" spans="1:5" x14ac:dyDescent="0.3">
      <c r="A55" s="50" t="s">
        <v>74</v>
      </c>
      <c r="B55" s="50" t="s">
        <v>116</v>
      </c>
      <c r="C55" s="54" t="s">
        <v>128</v>
      </c>
      <c r="D55" s="54" t="s">
        <v>124</v>
      </c>
    </row>
    <row r="56" spans="1:5" x14ac:dyDescent="0.3">
      <c r="A56" s="50" t="s">
        <v>74</v>
      </c>
      <c r="B56" s="50" t="s">
        <v>109</v>
      </c>
      <c r="C56" s="54" t="s">
        <v>117</v>
      </c>
      <c r="D56" s="54" t="s">
        <v>125</v>
      </c>
    </row>
    <row r="57" spans="1:5" x14ac:dyDescent="0.3">
      <c r="A57" s="50" t="s">
        <v>74</v>
      </c>
      <c r="B57" s="50" t="s">
        <v>110</v>
      </c>
      <c r="C57" s="54" t="s">
        <v>118</v>
      </c>
      <c r="D57" s="54" t="s">
        <v>126</v>
      </c>
    </row>
    <row r="58" spans="1:5" x14ac:dyDescent="0.3">
      <c r="A58" s="50" t="s">
        <v>74</v>
      </c>
      <c r="B58" s="50" t="s">
        <v>111</v>
      </c>
      <c r="C58" s="54" t="s">
        <v>119</v>
      </c>
      <c r="D58" s="54" t="s">
        <v>127</v>
      </c>
    </row>
    <row r="59" spans="1:5" x14ac:dyDescent="0.3">
      <c r="A59" s="50" t="s">
        <v>74</v>
      </c>
      <c r="B59" s="50" t="s">
        <v>112</v>
      </c>
      <c r="C59" s="54" t="s">
        <v>123</v>
      </c>
      <c r="D59" s="54" t="s">
        <v>132</v>
      </c>
    </row>
    <row r="60" spans="1:5" x14ac:dyDescent="0.3">
      <c r="A60" s="50" t="s">
        <v>74</v>
      </c>
      <c r="B60" s="50" t="s">
        <v>113</v>
      </c>
      <c r="C60" s="54" t="s">
        <v>120</v>
      </c>
      <c r="D60" s="54" t="s">
        <v>129</v>
      </c>
    </row>
    <row r="61" spans="1:5" x14ac:dyDescent="0.3">
      <c r="A61" s="50" t="s">
        <v>74</v>
      </c>
      <c r="B61" s="50" t="s">
        <v>114</v>
      </c>
      <c r="C61" s="54" t="s">
        <v>121</v>
      </c>
      <c r="D61" s="54" t="s">
        <v>130</v>
      </c>
    </row>
    <row r="62" spans="1:5" x14ac:dyDescent="0.3">
      <c r="A62" s="50" t="s">
        <v>74</v>
      </c>
      <c r="B62" s="50" t="s">
        <v>115</v>
      </c>
      <c r="C62" s="54" t="s">
        <v>122</v>
      </c>
      <c r="D62" s="54" t="s">
        <v>131</v>
      </c>
    </row>
    <row r="63" spans="1:5" x14ac:dyDescent="0.3">
      <c r="A63" s="50" t="s">
        <v>74</v>
      </c>
      <c r="B63" s="50" t="s">
        <v>403</v>
      </c>
      <c r="C63" s="54" t="s">
        <v>229</v>
      </c>
      <c r="D63" s="54" t="s">
        <v>230</v>
      </c>
    </row>
    <row r="64" spans="1:5" x14ac:dyDescent="0.3">
      <c r="A64" s="50" t="s">
        <v>74</v>
      </c>
      <c r="B64" s="50" t="s">
        <v>352</v>
      </c>
      <c r="C64" s="54" t="s">
        <v>235</v>
      </c>
      <c r="D64" s="54" t="s">
        <v>236</v>
      </c>
    </row>
    <row r="65" spans="1:4" x14ac:dyDescent="0.3">
      <c r="A65" s="50" t="s">
        <v>133</v>
      </c>
      <c r="B65" s="50" t="s">
        <v>353</v>
      </c>
      <c r="C65" t="s">
        <v>134</v>
      </c>
      <c r="D65" t="s">
        <v>135</v>
      </c>
    </row>
    <row r="66" spans="1:4" x14ac:dyDescent="0.3">
      <c r="B66" s="50"/>
    </row>
    <row r="67" spans="1:4" x14ac:dyDescent="0.3">
      <c r="A67" s="49"/>
      <c r="B67" s="49"/>
      <c r="C67" s="49"/>
      <c r="D67" s="49"/>
    </row>
    <row r="68" spans="1:4" ht="57.6" x14ac:dyDescent="0.3">
      <c r="A68" s="50" t="s">
        <v>163</v>
      </c>
      <c r="B68" s="50" t="s">
        <v>137</v>
      </c>
      <c r="C68" s="55" t="s">
        <v>139</v>
      </c>
      <c r="D68" s="55" t="s">
        <v>155</v>
      </c>
    </row>
    <row r="69" spans="1:4" x14ac:dyDescent="0.3">
      <c r="A69" s="50" t="s">
        <v>163</v>
      </c>
      <c r="B69" s="50" t="s">
        <v>136</v>
      </c>
      <c r="C69" s="56" t="s">
        <v>138</v>
      </c>
      <c r="D69" s="56" t="s">
        <v>156</v>
      </c>
    </row>
    <row r="70" spans="1:4" x14ac:dyDescent="0.3">
      <c r="A70" s="50" t="s">
        <v>163</v>
      </c>
      <c r="B70" s="50" t="s">
        <v>146</v>
      </c>
      <c r="C70" s="56" t="s">
        <v>140</v>
      </c>
      <c r="D70" s="56" t="s">
        <v>157</v>
      </c>
    </row>
    <row r="71" spans="1:4" x14ac:dyDescent="0.3">
      <c r="A71" s="50" t="s">
        <v>163</v>
      </c>
      <c r="B71" s="50" t="s">
        <v>147</v>
      </c>
      <c r="C71" s="56" t="s">
        <v>141</v>
      </c>
      <c r="D71" s="56" t="s">
        <v>158</v>
      </c>
    </row>
    <row r="72" spans="1:4" x14ac:dyDescent="0.3">
      <c r="A72" s="50" t="s">
        <v>163</v>
      </c>
      <c r="B72" s="50" t="s">
        <v>148</v>
      </c>
      <c r="C72" s="56" t="s">
        <v>142</v>
      </c>
      <c r="D72" s="56" t="s">
        <v>159</v>
      </c>
    </row>
    <row r="73" spans="1:4" x14ac:dyDescent="0.3">
      <c r="A73" s="50" t="s">
        <v>163</v>
      </c>
      <c r="B73" s="50" t="s">
        <v>149</v>
      </c>
      <c r="C73" s="56" t="s">
        <v>143</v>
      </c>
      <c r="D73" s="48" t="s">
        <v>162</v>
      </c>
    </row>
    <row r="74" spans="1:4" x14ac:dyDescent="0.3">
      <c r="A74" s="50" t="s">
        <v>163</v>
      </c>
      <c r="B74" s="50" t="s">
        <v>150</v>
      </c>
      <c r="C74" s="56" t="s">
        <v>144</v>
      </c>
      <c r="D74" s="48" t="s">
        <v>161</v>
      </c>
    </row>
    <row r="75" spans="1:4" x14ac:dyDescent="0.3">
      <c r="A75" s="50" t="s">
        <v>163</v>
      </c>
      <c r="B75" s="50" t="s">
        <v>151</v>
      </c>
      <c r="C75" s="56" t="s">
        <v>145</v>
      </c>
      <c r="D75" s="48" t="s">
        <v>160</v>
      </c>
    </row>
    <row r="76" spans="1:4" x14ac:dyDescent="0.3">
      <c r="A76" s="50"/>
      <c r="B76" s="50"/>
      <c r="C76" s="56"/>
      <c r="D76" s="48"/>
    </row>
    <row r="77" spans="1:4" x14ac:dyDescent="0.3">
      <c r="A77" s="49"/>
      <c r="B77" s="49"/>
      <c r="C77" s="49"/>
      <c r="D77" s="49"/>
    </row>
    <row r="78" spans="1:4" x14ac:dyDescent="0.3">
      <c r="A78" s="50" t="s">
        <v>152</v>
      </c>
      <c r="B78" s="50" t="s">
        <v>137</v>
      </c>
      <c r="C78" s="56" t="s">
        <v>153</v>
      </c>
      <c r="D78" s="56" t="s">
        <v>154</v>
      </c>
    </row>
    <row r="79" spans="1:4" x14ac:dyDescent="0.3">
      <c r="A79" s="50" t="s">
        <v>152</v>
      </c>
      <c r="B79" s="50" t="s">
        <v>136</v>
      </c>
      <c r="C79" s="56" t="s">
        <v>153</v>
      </c>
      <c r="D79" s="56" t="s">
        <v>154</v>
      </c>
    </row>
    <row r="80" spans="1:4" x14ac:dyDescent="0.3">
      <c r="A80" s="50" t="s">
        <v>152</v>
      </c>
      <c r="B80" s="50" t="s">
        <v>146</v>
      </c>
      <c r="C80" s="56" t="s">
        <v>153</v>
      </c>
      <c r="D80" s="56" t="s">
        <v>154</v>
      </c>
    </row>
    <row r="81" spans="1:4" x14ac:dyDescent="0.3">
      <c r="A81" s="50" t="s">
        <v>152</v>
      </c>
      <c r="B81" s="50" t="s">
        <v>147</v>
      </c>
      <c r="C81" s="56" t="s">
        <v>153</v>
      </c>
      <c r="D81" s="56" t="s">
        <v>154</v>
      </c>
    </row>
    <row r="82" spans="1:4" x14ac:dyDescent="0.3">
      <c r="A82" s="50" t="s">
        <v>152</v>
      </c>
      <c r="B82" s="50" t="s">
        <v>148</v>
      </c>
      <c r="C82" s="56" t="s">
        <v>153</v>
      </c>
      <c r="D82" s="56" t="s">
        <v>154</v>
      </c>
    </row>
    <row r="83" spans="1:4" x14ac:dyDescent="0.3">
      <c r="A83" s="50" t="s">
        <v>152</v>
      </c>
      <c r="B83" s="50" t="s">
        <v>149</v>
      </c>
      <c r="C83" s="56" t="s">
        <v>153</v>
      </c>
      <c r="D83" s="56" t="s">
        <v>154</v>
      </c>
    </row>
    <row r="84" spans="1:4" x14ac:dyDescent="0.3">
      <c r="A84" s="50" t="s">
        <v>152</v>
      </c>
      <c r="B84" s="50" t="s">
        <v>150</v>
      </c>
      <c r="C84" s="56" t="s">
        <v>153</v>
      </c>
      <c r="D84" s="56" t="s">
        <v>154</v>
      </c>
    </row>
    <row r="85" spans="1:4" x14ac:dyDescent="0.3">
      <c r="A85" s="50" t="s">
        <v>152</v>
      </c>
      <c r="B85" s="50" t="s">
        <v>151</v>
      </c>
      <c r="C85" s="56" t="s">
        <v>153</v>
      </c>
      <c r="D85" s="56" t="s">
        <v>154</v>
      </c>
    </row>
    <row r="86" spans="1:4" x14ac:dyDescent="0.3">
      <c r="A86" s="50"/>
      <c r="B86" s="50"/>
      <c r="D86" s="48"/>
    </row>
    <row r="87" spans="1:4" x14ac:dyDescent="0.3">
      <c r="A87" s="49"/>
      <c r="B87" s="58"/>
      <c r="C87" s="49"/>
      <c r="D87" s="49"/>
    </row>
    <row r="88" spans="1:4" x14ac:dyDescent="0.3">
      <c r="A88" s="50" t="s">
        <v>168</v>
      </c>
      <c r="B88" s="50"/>
      <c r="C88" t="s">
        <v>169</v>
      </c>
      <c r="D88" t="s">
        <v>170</v>
      </c>
    </row>
    <row r="89" spans="1:4" x14ac:dyDescent="0.3">
      <c r="A89" s="50" t="s">
        <v>168</v>
      </c>
      <c r="B89" s="50"/>
      <c r="C89" t="s">
        <v>171</v>
      </c>
      <c r="D89" t="s">
        <v>172</v>
      </c>
    </row>
    <row r="90" spans="1:4" x14ac:dyDescent="0.3">
      <c r="A90" s="50" t="s">
        <v>168</v>
      </c>
      <c r="C90" t="s">
        <v>173</v>
      </c>
      <c r="D90" t="s">
        <v>174</v>
      </c>
    </row>
    <row r="91" spans="1:4" x14ac:dyDescent="0.3">
      <c r="A91" s="50" t="s">
        <v>168</v>
      </c>
      <c r="C91" t="s">
        <v>175</v>
      </c>
      <c r="D91" t="s">
        <v>176</v>
      </c>
    </row>
    <row r="92" spans="1:4" x14ac:dyDescent="0.3">
      <c r="A92" s="50" t="s">
        <v>168</v>
      </c>
      <c r="C92" t="s">
        <v>177</v>
      </c>
      <c r="D92" t="s">
        <v>178</v>
      </c>
    </row>
    <row r="93" spans="1:4" x14ac:dyDescent="0.3">
      <c r="A93" s="50" t="s">
        <v>168</v>
      </c>
      <c r="C93" t="s">
        <v>179</v>
      </c>
      <c r="D93" t="s">
        <v>180</v>
      </c>
    </row>
    <row r="94" spans="1:4" x14ac:dyDescent="0.3">
      <c r="A94" s="50" t="s">
        <v>168</v>
      </c>
      <c r="C94" s="57" t="s">
        <v>181</v>
      </c>
      <c r="D94" s="57" t="s">
        <v>182</v>
      </c>
    </row>
    <row r="95" spans="1:4" x14ac:dyDescent="0.3">
      <c r="A95" s="50" t="s">
        <v>168</v>
      </c>
      <c r="C95" t="s">
        <v>184</v>
      </c>
      <c r="D95" t="s">
        <v>183</v>
      </c>
    </row>
    <row r="96" spans="1:4" x14ac:dyDescent="0.3">
      <c r="A96" s="50" t="s">
        <v>168</v>
      </c>
      <c r="C96" t="s">
        <v>186</v>
      </c>
      <c r="D96" t="s">
        <v>185</v>
      </c>
    </row>
    <row r="97" spans="1:4" x14ac:dyDescent="0.3">
      <c r="A97" s="50" t="s">
        <v>168</v>
      </c>
      <c r="C97" t="s">
        <v>188</v>
      </c>
      <c r="D97" t="s">
        <v>187</v>
      </c>
    </row>
    <row r="98" spans="1:4" x14ac:dyDescent="0.3">
      <c r="A98" s="50" t="s">
        <v>168</v>
      </c>
      <c r="C98" t="s">
        <v>189</v>
      </c>
      <c r="D98" t="s">
        <v>190</v>
      </c>
    </row>
    <row r="99" spans="1:4" x14ac:dyDescent="0.3">
      <c r="A99" s="50" t="s">
        <v>168</v>
      </c>
      <c r="C99" t="s">
        <v>191</v>
      </c>
      <c r="D99" t="s">
        <v>192</v>
      </c>
    </row>
    <row r="100" spans="1:4" x14ac:dyDescent="0.3">
      <c r="A100" s="50" t="s">
        <v>168</v>
      </c>
      <c r="C100" t="s">
        <v>193</v>
      </c>
      <c r="D100" t="s">
        <v>194</v>
      </c>
    </row>
    <row r="101" spans="1:4" x14ac:dyDescent="0.3">
      <c r="A101" s="50" t="s">
        <v>168</v>
      </c>
      <c r="C101" t="s">
        <v>286</v>
      </c>
      <c r="D101" t="s">
        <v>287</v>
      </c>
    </row>
    <row r="102" spans="1:4" x14ac:dyDescent="0.3">
      <c r="A102" s="50" t="s">
        <v>168</v>
      </c>
      <c r="C102" t="s">
        <v>195</v>
      </c>
      <c r="D102" t="s">
        <v>196</v>
      </c>
    </row>
    <row r="103" spans="1:4" x14ac:dyDescent="0.3">
      <c r="A103" s="50" t="s">
        <v>168</v>
      </c>
      <c r="C103" t="s">
        <v>197</v>
      </c>
      <c r="D103" t="s">
        <v>198</v>
      </c>
    </row>
    <row r="104" spans="1:4" x14ac:dyDescent="0.3">
      <c r="A104" s="50" t="s">
        <v>168</v>
      </c>
      <c r="C104" t="s">
        <v>199</v>
      </c>
      <c r="D104" t="s">
        <v>200</v>
      </c>
    </row>
    <row r="105" spans="1:4" x14ac:dyDescent="0.3">
      <c r="A105" s="50" t="s">
        <v>168</v>
      </c>
      <c r="C105" t="s">
        <v>197</v>
      </c>
      <c r="D105" t="s">
        <v>201</v>
      </c>
    </row>
    <row r="106" spans="1:4" ht="409.6" x14ac:dyDescent="0.3">
      <c r="A106" s="50" t="s">
        <v>168</v>
      </c>
      <c r="B106" s="48" t="s">
        <v>203</v>
      </c>
      <c r="C106" s="52" t="s">
        <v>202</v>
      </c>
      <c r="D106" s="52" t="s">
        <v>204</v>
      </c>
    </row>
    <row r="107" spans="1:4" x14ac:dyDescent="0.3">
      <c r="A107" s="50" t="s">
        <v>168</v>
      </c>
      <c r="B107" s="48"/>
      <c r="C107" s="48" t="s">
        <v>331</v>
      </c>
      <c r="D107" s="48" t="s">
        <v>330</v>
      </c>
    </row>
    <row r="108" spans="1:4" x14ac:dyDescent="0.3">
      <c r="A108" s="50" t="s">
        <v>168</v>
      </c>
      <c r="B108" s="48"/>
      <c r="C108" s="48" t="s">
        <v>206</v>
      </c>
      <c r="D108" s="48" t="s">
        <v>205</v>
      </c>
    </row>
    <row r="109" spans="1:4" x14ac:dyDescent="0.3">
      <c r="A109" s="50" t="s">
        <v>168</v>
      </c>
      <c r="B109" s="48"/>
      <c r="C109" s="48" t="s">
        <v>207</v>
      </c>
      <c r="D109" s="48" t="s">
        <v>208</v>
      </c>
    </row>
    <row r="110" spans="1:4" ht="43.2" x14ac:dyDescent="0.3">
      <c r="A110" s="50" t="s">
        <v>168</v>
      </c>
      <c r="B110" s="48" t="s">
        <v>210</v>
      </c>
      <c r="C110" s="52" t="s">
        <v>213</v>
      </c>
      <c r="D110" s="52" t="s">
        <v>209</v>
      </c>
    </row>
    <row r="111" spans="1:4" x14ac:dyDescent="0.3">
      <c r="A111" s="50" t="s">
        <v>168</v>
      </c>
      <c r="C111" s="52" t="s">
        <v>212</v>
      </c>
      <c r="D111" s="52" t="s">
        <v>211</v>
      </c>
    </row>
    <row r="112" spans="1:4" x14ac:dyDescent="0.3">
      <c r="A112" s="50" t="s">
        <v>168</v>
      </c>
      <c r="C112" s="52" t="s">
        <v>214</v>
      </c>
      <c r="D112" s="52" t="s">
        <v>214</v>
      </c>
    </row>
    <row r="113" spans="1:4" x14ac:dyDescent="0.3">
      <c r="A113" s="50" t="s">
        <v>168</v>
      </c>
      <c r="C113" s="52" t="s">
        <v>216</v>
      </c>
      <c r="D113" s="52" t="s">
        <v>215</v>
      </c>
    </row>
    <row r="114" spans="1:4" x14ac:dyDescent="0.3">
      <c r="A114" s="50" t="s">
        <v>168</v>
      </c>
      <c r="C114" s="52" t="s">
        <v>218</v>
      </c>
      <c r="D114" s="52" t="s">
        <v>217</v>
      </c>
    </row>
    <row r="115" spans="1:4" x14ac:dyDescent="0.3">
      <c r="A115" s="50" t="s">
        <v>168</v>
      </c>
      <c r="C115" s="52" t="s">
        <v>220</v>
      </c>
      <c r="D115" s="52" t="s">
        <v>219</v>
      </c>
    </row>
    <row r="116" spans="1:4" x14ac:dyDescent="0.3">
      <c r="A116" s="50" t="s">
        <v>168</v>
      </c>
      <c r="C116" s="52" t="s">
        <v>233</v>
      </c>
      <c r="D116" s="52" t="s">
        <v>234</v>
      </c>
    </row>
    <row r="117" spans="1:4" x14ac:dyDescent="0.3">
      <c r="A117" s="50"/>
      <c r="C117" s="52" t="s">
        <v>232</v>
      </c>
      <c r="D117" s="52" t="s">
        <v>231</v>
      </c>
    </row>
    <row r="118" spans="1:4" x14ac:dyDescent="0.3">
      <c r="A118" s="50" t="s">
        <v>168</v>
      </c>
      <c r="C118" s="52" t="s">
        <v>222</v>
      </c>
      <c r="D118" s="52" t="s">
        <v>221</v>
      </c>
    </row>
    <row r="119" spans="1:4" x14ac:dyDescent="0.3">
      <c r="A119" s="50" t="s">
        <v>168</v>
      </c>
      <c r="C119" s="52" t="s">
        <v>224</v>
      </c>
      <c r="D119" s="52" t="s">
        <v>223</v>
      </c>
    </row>
    <row r="120" spans="1:4" x14ac:dyDescent="0.3">
      <c r="A120" s="50" t="s">
        <v>168</v>
      </c>
      <c r="C120" s="52" t="s">
        <v>226</v>
      </c>
      <c r="D120" s="52" t="s">
        <v>225</v>
      </c>
    </row>
    <row r="121" spans="1:4" x14ac:dyDescent="0.3">
      <c r="A121" s="50" t="s">
        <v>168</v>
      </c>
      <c r="C121" s="52" t="s">
        <v>228</v>
      </c>
      <c r="D121" s="52" t="s">
        <v>227</v>
      </c>
    </row>
    <row r="122" spans="1:4" x14ac:dyDescent="0.3">
      <c r="A122" s="50" t="s">
        <v>168</v>
      </c>
      <c r="C122" t="s">
        <v>237</v>
      </c>
      <c r="D122" s="52" t="s">
        <v>238</v>
      </c>
    </row>
    <row r="123" spans="1:4" x14ac:dyDescent="0.3">
      <c r="A123" s="50" t="s">
        <v>168</v>
      </c>
      <c r="C123" t="s">
        <v>240</v>
      </c>
      <c r="D123" s="52" t="s">
        <v>239</v>
      </c>
    </row>
    <row r="124" spans="1:4" x14ac:dyDescent="0.3">
      <c r="A124" s="50" t="s">
        <v>168</v>
      </c>
      <c r="C124" t="s">
        <v>241</v>
      </c>
      <c r="D124" s="52" t="s">
        <v>242</v>
      </c>
    </row>
    <row r="126" spans="1:4" x14ac:dyDescent="0.3">
      <c r="A126" s="50" t="s">
        <v>258</v>
      </c>
      <c r="C126" t="s">
        <v>243</v>
      </c>
      <c r="D126" t="s">
        <v>259</v>
      </c>
    </row>
    <row r="127" spans="1:4" x14ac:dyDescent="0.3">
      <c r="A127" s="50" t="s">
        <v>258</v>
      </c>
      <c r="C127" t="s">
        <v>244</v>
      </c>
      <c r="D127" t="s">
        <v>260</v>
      </c>
    </row>
    <row r="128" spans="1:4" x14ac:dyDescent="0.3">
      <c r="A128" s="50" t="s">
        <v>258</v>
      </c>
      <c r="C128" t="s">
        <v>245</v>
      </c>
      <c r="D128" t="s">
        <v>261</v>
      </c>
    </row>
    <row r="129" spans="1:4" ht="43.2" x14ac:dyDescent="0.3">
      <c r="A129" s="50" t="s">
        <v>258</v>
      </c>
      <c r="C129" s="60" t="s">
        <v>276</v>
      </c>
      <c r="D129" s="52" t="s">
        <v>277</v>
      </c>
    </row>
    <row r="130" spans="1:4" ht="28.8" x14ac:dyDescent="0.3">
      <c r="A130" s="50" t="s">
        <v>258</v>
      </c>
      <c r="C130" t="s">
        <v>246</v>
      </c>
      <c r="D130" s="60" t="s">
        <v>262</v>
      </c>
    </row>
    <row r="131" spans="1:4" x14ac:dyDescent="0.3">
      <c r="A131" s="50" t="s">
        <v>258</v>
      </c>
      <c r="C131" t="s">
        <v>247</v>
      </c>
      <c r="D131" s="60" t="s">
        <v>263</v>
      </c>
    </row>
    <row r="132" spans="1:4" ht="43.2" x14ac:dyDescent="0.3">
      <c r="A132" s="50" t="s">
        <v>258</v>
      </c>
      <c r="C132" s="60" t="s">
        <v>278</v>
      </c>
      <c r="D132" s="52" t="s">
        <v>279</v>
      </c>
    </row>
    <row r="133" spans="1:4" x14ac:dyDescent="0.3">
      <c r="A133" s="50" t="s">
        <v>258</v>
      </c>
      <c r="C133" t="s">
        <v>248</v>
      </c>
      <c r="D133" s="52" t="s">
        <v>264</v>
      </c>
    </row>
    <row r="134" spans="1:4" x14ac:dyDescent="0.3">
      <c r="A134" s="50" t="s">
        <v>258</v>
      </c>
      <c r="C134" t="s">
        <v>249</v>
      </c>
      <c r="D134" s="52" t="s">
        <v>265</v>
      </c>
    </row>
    <row r="135" spans="1:4" x14ac:dyDescent="0.3">
      <c r="A135" s="50" t="s">
        <v>258</v>
      </c>
      <c r="C135" t="s">
        <v>250</v>
      </c>
      <c r="D135" s="52" t="s">
        <v>266</v>
      </c>
    </row>
    <row r="136" spans="1:4" x14ac:dyDescent="0.3">
      <c r="A136" s="50" t="s">
        <v>258</v>
      </c>
      <c r="C136" t="s">
        <v>251</v>
      </c>
      <c r="D136" s="52" t="s">
        <v>267</v>
      </c>
    </row>
    <row r="137" spans="1:4" x14ac:dyDescent="0.3">
      <c r="A137" s="50" t="s">
        <v>258</v>
      </c>
      <c r="C137" t="s">
        <v>252</v>
      </c>
      <c r="D137" s="52" t="s">
        <v>268</v>
      </c>
    </row>
    <row r="138" spans="1:4" x14ac:dyDescent="0.3">
      <c r="A138" s="50" t="s">
        <v>258</v>
      </c>
      <c r="C138" t="s">
        <v>253</v>
      </c>
      <c r="D138" s="52" t="s">
        <v>271</v>
      </c>
    </row>
    <row r="139" spans="1:4" x14ac:dyDescent="0.3">
      <c r="A139" s="50" t="s">
        <v>258</v>
      </c>
      <c r="C139" t="s">
        <v>254</v>
      </c>
      <c r="D139" s="52" t="s">
        <v>269</v>
      </c>
    </row>
    <row r="140" spans="1:4" x14ac:dyDescent="0.3">
      <c r="A140" s="50" t="s">
        <v>258</v>
      </c>
      <c r="C140" t="s">
        <v>255</v>
      </c>
      <c r="D140" s="52" t="s">
        <v>270</v>
      </c>
    </row>
    <row r="141" spans="1:4" x14ac:dyDescent="0.3">
      <c r="A141" s="50" t="s">
        <v>258</v>
      </c>
      <c r="C141" t="s">
        <v>256</v>
      </c>
      <c r="D141" s="52" t="s">
        <v>272</v>
      </c>
    </row>
    <row r="142" spans="1:4" x14ac:dyDescent="0.3">
      <c r="A142" s="50" t="s">
        <v>258</v>
      </c>
      <c r="C142" t="s">
        <v>257</v>
      </c>
      <c r="D142" s="52" t="s">
        <v>273</v>
      </c>
    </row>
    <row r="143" spans="1:4" x14ac:dyDescent="0.3">
      <c r="A143" s="50" t="s">
        <v>258</v>
      </c>
      <c r="C143" t="s">
        <v>275</v>
      </c>
      <c r="D143" s="52" t="s">
        <v>274</v>
      </c>
    </row>
    <row r="144" spans="1:4" x14ac:dyDescent="0.3">
      <c r="A144" s="50" t="s">
        <v>258</v>
      </c>
      <c r="C144" t="s">
        <v>280</v>
      </c>
      <c r="D144" t="s">
        <v>281</v>
      </c>
    </row>
    <row r="145" spans="1:4" x14ac:dyDescent="0.3">
      <c r="A145" s="50" t="s">
        <v>258</v>
      </c>
      <c r="C145" t="s">
        <v>282</v>
      </c>
      <c r="D145" t="s">
        <v>283</v>
      </c>
    </row>
    <row r="147" spans="1:4" ht="43.2" x14ac:dyDescent="0.3">
      <c r="A147" s="50" t="s">
        <v>258</v>
      </c>
      <c r="C147" s="52" t="s">
        <v>385</v>
      </c>
      <c r="D147" s="52" t="s">
        <v>386</v>
      </c>
    </row>
    <row r="148" spans="1:4" x14ac:dyDescent="0.3">
      <c r="A148" s="50" t="s">
        <v>258</v>
      </c>
      <c r="C148" t="s">
        <v>387</v>
      </c>
      <c r="D148" s="52" t="s">
        <v>388</v>
      </c>
    </row>
    <row r="149" spans="1:4" ht="72" x14ac:dyDescent="0.3">
      <c r="A149" s="50" t="s">
        <v>258</v>
      </c>
      <c r="C149" s="52" t="s">
        <v>389</v>
      </c>
      <c r="D149" s="52" t="s">
        <v>390</v>
      </c>
    </row>
    <row r="150" spans="1:4" ht="86.4" x14ac:dyDescent="0.3">
      <c r="A150" s="50" t="s">
        <v>258</v>
      </c>
      <c r="C150" s="52" t="s">
        <v>408</v>
      </c>
      <c r="D150" s="52" t="s">
        <v>395</v>
      </c>
    </row>
    <row r="151" spans="1:4" x14ac:dyDescent="0.3">
      <c r="A151" s="50" t="s">
        <v>258</v>
      </c>
      <c r="C151" s="52" t="s">
        <v>391</v>
      </c>
      <c r="D151" s="96" t="s">
        <v>391</v>
      </c>
    </row>
    <row r="152" spans="1:4" x14ac:dyDescent="0.3">
      <c r="A152" s="50" t="s">
        <v>258</v>
      </c>
      <c r="C152" t="s">
        <v>392</v>
      </c>
      <c r="D152" s="52" t="s">
        <v>393</v>
      </c>
    </row>
    <row r="153" spans="1:4" ht="115.2" x14ac:dyDescent="0.3">
      <c r="A153" s="50" t="s">
        <v>258</v>
      </c>
      <c r="C153" s="52" t="s">
        <v>407</v>
      </c>
      <c r="D153" s="52" t="s">
        <v>396</v>
      </c>
    </row>
    <row r="154" spans="1:4" x14ac:dyDescent="0.3">
      <c r="A154" s="50" t="s">
        <v>258</v>
      </c>
      <c r="C154" s="96" t="s">
        <v>394</v>
      </c>
      <c r="D154" s="96" t="s">
        <v>394</v>
      </c>
    </row>
    <row r="155" spans="1:4" ht="72" x14ac:dyDescent="0.3">
      <c r="A155" s="50" t="s">
        <v>258</v>
      </c>
      <c r="C155" s="60" t="s">
        <v>405</v>
      </c>
      <c r="D155" s="52" t="s">
        <v>406</v>
      </c>
    </row>
    <row r="156" spans="1:4" x14ac:dyDescent="0.3">
      <c r="A156" s="50" t="s">
        <v>258</v>
      </c>
      <c r="C156" s="60" t="s">
        <v>404</v>
      </c>
      <c r="D156" s="60" t="s">
        <v>404</v>
      </c>
    </row>
  </sheetData>
  <phoneticPr fontId="20" type="noConversion"/>
  <hyperlinks>
    <hyperlink ref="C94" r:id="rId1" xr:uid="{00000000-0004-0000-0100-000000000000}"/>
    <hyperlink ref="D94" r:id="rId2" xr:uid="{00000000-0004-0000-0100-000001000000}"/>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F10"/>
  <sheetViews>
    <sheetView topLeftCell="B1" workbookViewId="0">
      <pane ySplit="3" topLeftCell="A4" activePane="bottomLeft" state="frozen"/>
      <selection pane="bottomLeft" activeCell="C6" sqref="C6"/>
    </sheetView>
  </sheetViews>
  <sheetFormatPr baseColWidth="10" defaultColWidth="11.5546875" defaultRowHeight="13.2" x14ac:dyDescent="0.25"/>
  <cols>
    <col min="1" max="1" width="3.33203125" style="66" bestFit="1" customWidth="1"/>
    <col min="2" max="2" width="7.109375" style="66" bestFit="1" customWidth="1"/>
    <col min="3" max="3" width="31.6640625"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302</v>
      </c>
      <c r="B1" s="65"/>
      <c r="D1" s="65"/>
      <c r="F1" s="67">
        <v>43686</v>
      </c>
    </row>
    <row r="2" spans="1:6" ht="6.6" customHeight="1" x14ac:dyDescent="0.25"/>
    <row r="3" spans="1:6" ht="41.25" customHeight="1" x14ac:dyDescent="0.25">
      <c r="A3" s="69" t="s">
        <v>295</v>
      </c>
      <c r="B3" s="68" t="s">
        <v>332</v>
      </c>
      <c r="C3" s="68" t="s">
        <v>296</v>
      </c>
      <c r="D3" s="68" t="s">
        <v>82</v>
      </c>
      <c r="E3" s="68" t="s">
        <v>297</v>
      </c>
      <c r="F3" s="68" t="s">
        <v>298</v>
      </c>
    </row>
    <row r="4" spans="1:6" ht="14.4" x14ac:dyDescent="0.3">
      <c r="A4" s="70"/>
      <c r="B4" s="70">
        <v>64</v>
      </c>
      <c r="C4" s="71" t="s">
        <v>294</v>
      </c>
      <c r="D4" s="71" t="str">
        <f>C4</f>
        <v>N_Buttons</v>
      </c>
      <c r="E4" s="75" t="s">
        <v>416</v>
      </c>
      <c r="F4" s="76" t="s">
        <v>419</v>
      </c>
    </row>
    <row r="5" spans="1:6" ht="26.4" x14ac:dyDescent="0.25">
      <c r="A5" s="70"/>
      <c r="B5" s="70">
        <v>64</v>
      </c>
      <c r="C5" s="71" t="s">
        <v>299</v>
      </c>
      <c r="D5" s="71" t="str">
        <f>C5</f>
        <v>Binary</v>
      </c>
      <c r="E5" s="74" t="s">
        <v>417</v>
      </c>
      <c r="F5" s="73" t="s">
        <v>418</v>
      </c>
    </row>
    <row r="6" spans="1:6" ht="39.6" x14ac:dyDescent="0.25">
      <c r="A6" s="70"/>
      <c r="B6" s="70">
        <v>64</v>
      </c>
      <c r="C6" s="71" t="s">
        <v>300</v>
      </c>
      <c r="D6" s="71" t="str">
        <f t="shared" ref="D6:D8" si="0">IF(C6&lt;&gt;"",LEFT(C6,FIND("(",C6)-1),"")</f>
        <v>Counter</v>
      </c>
      <c r="E6" s="74" t="s">
        <v>303</v>
      </c>
      <c r="F6" s="73" t="s">
        <v>304</v>
      </c>
    </row>
    <row r="7" spans="1:6" ht="26.4" x14ac:dyDescent="0.25">
      <c r="A7" s="70"/>
      <c r="B7" s="70">
        <v>64</v>
      </c>
      <c r="C7" s="71" t="s">
        <v>328</v>
      </c>
      <c r="D7" s="71" t="str">
        <f t="shared" si="0"/>
        <v>RandButton</v>
      </c>
      <c r="E7" s="74" t="s">
        <v>306</v>
      </c>
      <c r="F7" s="73" t="s">
        <v>307</v>
      </c>
    </row>
    <row r="8" spans="1:6" x14ac:dyDescent="0.25">
      <c r="A8" s="70"/>
      <c r="B8" s="70">
        <v>64</v>
      </c>
      <c r="C8" s="71" t="s">
        <v>301</v>
      </c>
      <c r="D8" s="71" t="str">
        <f t="shared" si="0"/>
        <v>RandomTime</v>
      </c>
      <c r="E8" s="74" t="s">
        <v>305</v>
      </c>
      <c r="F8" s="72" t="s">
        <v>413</v>
      </c>
    </row>
    <row r="9" spans="1:6" x14ac:dyDescent="0.25">
      <c r="A9" s="72"/>
      <c r="B9" s="70">
        <v>64</v>
      </c>
      <c r="C9" s="71" t="s">
        <v>409</v>
      </c>
      <c r="D9" s="71" t="str">
        <f t="shared" ref="D9" si="1">IF(C9&lt;&gt;"",LEFT(C9,FIND("(",C9)-1),"")</f>
        <v>RandomCount</v>
      </c>
      <c r="E9" s="74" t="s">
        <v>410</v>
      </c>
      <c r="F9" s="72" t="s">
        <v>414</v>
      </c>
    </row>
    <row r="10" spans="1:6" x14ac:dyDescent="0.25">
      <c r="A10" s="72"/>
      <c r="B10" s="70">
        <v>64</v>
      </c>
      <c r="C10" s="71" t="s">
        <v>411</v>
      </c>
      <c r="D10" s="71" t="str">
        <f t="shared" ref="D10" si="2">IF(C10&lt;&gt;"",LEFT(C10,FIND("(",C10)-1),"")</f>
        <v>RandomPingPong</v>
      </c>
      <c r="E10" s="74" t="s">
        <v>412</v>
      </c>
      <c r="F10" s="72" t="s">
        <v>415</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F48"/>
  <sheetViews>
    <sheetView workbookViewId="0">
      <pane ySplit="14" topLeftCell="A15" activePane="bottomLeft" state="frozen"/>
      <selection pane="bottomLeft" activeCell="C14" sqref="C14"/>
    </sheetView>
  </sheetViews>
  <sheetFormatPr baseColWidth="10" defaultColWidth="11.5546875" defaultRowHeight="13.2" x14ac:dyDescent="0.25"/>
  <cols>
    <col min="1" max="2" width="3.33203125" style="66" bestFit="1" customWidth="1"/>
    <col min="3" max="3" width="41" style="66" customWidth="1"/>
    <col min="4" max="4" width="14.109375" style="66" customWidth="1"/>
    <col min="5" max="5" width="74.33203125" style="66" customWidth="1"/>
    <col min="6" max="6" width="134.44140625" style="66" customWidth="1"/>
    <col min="7" max="16384" width="11.5546875" style="66"/>
  </cols>
  <sheetData>
    <row r="1" spans="1:6" ht="17.399999999999999" x14ac:dyDescent="0.3">
      <c r="A1" s="65" t="s">
        <v>379</v>
      </c>
      <c r="B1" s="65"/>
      <c r="D1" s="65"/>
      <c r="F1" s="67">
        <v>43832</v>
      </c>
    </row>
    <row r="2" spans="1:6" ht="15" customHeight="1" x14ac:dyDescent="0.25">
      <c r="A2" s="95" t="s">
        <v>376</v>
      </c>
      <c r="B2" s="95"/>
      <c r="C2" s="95" t="s">
        <v>372</v>
      </c>
      <c r="D2" s="95" t="s">
        <v>373</v>
      </c>
      <c r="E2" s="95" t="s">
        <v>374</v>
      </c>
      <c r="F2" s="95" t="s">
        <v>375</v>
      </c>
    </row>
    <row r="3" spans="1:6" ht="41.25" customHeight="1" x14ac:dyDescent="0.25">
      <c r="A3" s="69" t="s">
        <v>295</v>
      </c>
      <c r="B3" s="94" t="s">
        <v>359</v>
      </c>
      <c r="C3" s="68" t="s">
        <v>333</v>
      </c>
      <c r="D3" s="68" t="s">
        <v>82</v>
      </c>
      <c r="E3" s="68" t="s">
        <v>297</v>
      </c>
      <c r="F3" s="68" t="s">
        <v>298</v>
      </c>
    </row>
    <row r="4" spans="1:6" x14ac:dyDescent="0.25">
      <c r="A4" s="72"/>
      <c r="B4" s="72"/>
      <c r="C4" s="72"/>
      <c r="D4" s="72" t="s">
        <v>338</v>
      </c>
      <c r="E4" s="72" t="s">
        <v>382</v>
      </c>
      <c r="F4" s="72" t="s">
        <v>383</v>
      </c>
    </row>
    <row r="12" spans="1:6" ht="17.399999999999999" x14ac:dyDescent="0.3">
      <c r="A12" s="65" t="s">
        <v>358</v>
      </c>
      <c r="B12" s="65"/>
      <c r="D12" s="65"/>
      <c r="F12" s="67">
        <v>43832</v>
      </c>
    </row>
    <row r="13" spans="1:6" ht="15" customHeight="1" x14ac:dyDescent="0.25">
      <c r="A13" s="95" t="s">
        <v>376</v>
      </c>
      <c r="B13" s="95"/>
      <c r="C13" s="95" t="s">
        <v>372</v>
      </c>
      <c r="D13" s="95" t="s">
        <v>373</v>
      </c>
      <c r="E13" s="95" t="s">
        <v>374</v>
      </c>
      <c r="F13" s="95" t="s">
        <v>375</v>
      </c>
    </row>
    <row r="14" spans="1:6" ht="41.25" customHeight="1" x14ac:dyDescent="0.25">
      <c r="A14" s="69" t="s">
        <v>295</v>
      </c>
      <c r="B14" s="94" t="s">
        <v>359</v>
      </c>
      <c r="C14" s="68" t="s">
        <v>400</v>
      </c>
      <c r="D14" s="68" t="s">
        <v>82</v>
      </c>
      <c r="E14" s="68" t="s">
        <v>297</v>
      </c>
      <c r="F14" s="68" t="s">
        <v>298</v>
      </c>
    </row>
    <row r="15" spans="1:6" ht="14.4" x14ac:dyDescent="0.3">
      <c r="A15" s="70"/>
      <c r="B15" s="70"/>
      <c r="C15" s="71" t="s">
        <v>364</v>
      </c>
      <c r="D15" s="71" t="s">
        <v>360</v>
      </c>
      <c r="E15" s="75" t="s">
        <v>369</v>
      </c>
      <c r="F15" s="76"/>
    </row>
    <row r="16" spans="1:6" x14ac:dyDescent="0.25">
      <c r="A16" s="70"/>
      <c r="B16" s="70"/>
      <c r="C16" s="71" t="s">
        <v>365</v>
      </c>
      <c r="D16" s="71" t="s">
        <v>361</v>
      </c>
      <c r="E16" s="74" t="s">
        <v>370</v>
      </c>
      <c r="F16" s="73"/>
    </row>
    <row r="17" spans="1:6" x14ac:dyDescent="0.25">
      <c r="A17" s="70"/>
      <c r="B17" s="70"/>
      <c r="C17" s="71" t="s">
        <v>366</v>
      </c>
      <c r="D17" s="71" t="s">
        <v>362</v>
      </c>
      <c r="E17" s="74" t="s">
        <v>371</v>
      </c>
      <c r="F17" s="73"/>
    </row>
    <row r="18" spans="1:6" x14ac:dyDescent="0.25">
      <c r="A18" s="70"/>
      <c r="B18" s="70"/>
      <c r="C18" s="71" t="s">
        <v>367</v>
      </c>
      <c r="D18" s="71" t="s">
        <v>363</v>
      </c>
      <c r="E18" s="74" t="s">
        <v>368</v>
      </c>
      <c r="F18" s="73"/>
    </row>
    <row r="19" spans="1:6" x14ac:dyDescent="0.25">
      <c r="C19" s="66" t="s">
        <v>397</v>
      </c>
      <c r="D19" s="66" t="s">
        <v>398</v>
      </c>
      <c r="E19" s="66" t="s">
        <v>399</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66"/>
    <col min="2" max="2" width="5.88671875" style="66" customWidth="1"/>
    <col min="3" max="3" width="6.6640625" style="66" customWidth="1"/>
    <col min="4" max="4" width="5" style="66" customWidth="1"/>
    <col min="5" max="6" width="9.109375" style="66" customWidth="1"/>
    <col min="7" max="7" width="32.44140625" style="66" customWidth="1"/>
    <col min="8" max="8" width="45.33203125" style="66" customWidth="1"/>
    <col min="9" max="9" width="40" style="66" customWidth="1"/>
    <col min="10" max="16384" width="11.44140625" style="66"/>
  </cols>
  <sheetData>
    <row r="1" spans="1:9" ht="31.2" customHeight="1" x14ac:dyDescent="0.25">
      <c r="A1" s="77" t="s">
        <v>308</v>
      </c>
      <c r="B1" s="77" t="s">
        <v>309</v>
      </c>
      <c r="C1" s="77" t="s">
        <v>54</v>
      </c>
      <c r="D1" s="77" t="s">
        <v>310</v>
      </c>
      <c r="E1" s="77" t="s">
        <v>311</v>
      </c>
      <c r="F1" s="77" t="s">
        <v>312</v>
      </c>
      <c r="G1" s="78" t="s">
        <v>313</v>
      </c>
      <c r="H1" s="78" t="s">
        <v>314</v>
      </c>
      <c r="I1" s="78" t="s">
        <v>315</v>
      </c>
    </row>
    <row r="2" spans="1:9" x14ac:dyDescent="0.25">
      <c r="A2" s="83" t="s">
        <v>319</v>
      </c>
      <c r="B2" s="83"/>
      <c r="C2" s="83" t="s">
        <v>316</v>
      </c>
      <c r="D2" s="83">
        <v>1</v>
      </c>
      <c r="E2" s="83">
        <v>1048560</v>
      </c>
      <c r="F2" s="83" t="s">
        <v>320</v>
      </c>
      <c r="G2" s="83" t="s">
        <v>317</v>
      </c>
      <c r="H2" s="86" t="s">
        <v>318</v>
      </c>
      <c r="I2" s="83"/>
    </row>
    <row r="3" spans="1:9" x14ac:dyDescent="0.25">
      <c r="A3" s="83" t="s">
        <v>326</v>
      </c>
      <c r="B3" s="83"/>
      <c r="C3" s="83"/>
      <c r="D3" s="83"/>
      <c r="E3" s="83"/>
      <c r="F3" s="83">
        <v>0</v>
      </c>
      <c r="G3" s="83" t="s">
        <v>327</v>
      </c>
      <c r="H3" s="81"/>
    </row>
    <row r="4" spans="1:9" x14ac:dyDescent="0.25">
      <c r="A4" s="83" t="s">
        <v>321</v>
      </c>
      <c r="B4" s="83"/>
      <c r="C4" s="83" t="s">
        <v>316</v>
      </c>
      <c r="D4" s="83">
        <v>0</v>
      </c>
      <c r="E4" s="83">
        <v>1048560</v>
      </c>
      <c r="F4" s="83" t="s">
        <v>289</v>
      </c>
      <c r="G4" s="83" t="s">
        <v>322</v>
      </c>
      <c r="H4" s="84" t="str">
        <f>H2</f>
        <v xml:space="preserve">Die Zeit wird in Millisekunden angegeben. Es können aber auch „Sec“ oder „Min“ angehängt werden. Die Maximale Zeit beträgt 17 Minuten (1048560 ms). </v>
      </c>
      <c r="I4" s="85"/>
    </row>
    <row r="5" spans="1:9" x14ac:dyDescent="0.25">
      <c r="A5" s="83" t="s">
        <v>323</v>
      </c>
      <c r="B5" s="83"/>
      <c r="C5" s="83" t="s">
        <v>316</v>
      </c>
      <c r="D5" s="83">
        <v>0</v>
      </c>
      <c r="E5" s="83">
        <v>1048560</v>
      </c>
      <c r="F5" s="83" t="s">
        <v>324</v>
      </c>
      <c r="G5" s="83" t="s">
        <v>325</v>
      </c>
      <c r="H5" s="82" t="str">
        <f>H2</f>
        <v xml:space="preserve">Die Zeit wird in Millisekunden angegeben. Es können aber auch „Sec“ oder „Min“ angehängt werden. Die Maximale Zeit beträgt 17 Minuten (1048560 ms). </v>
      </c>
    </row>
    <row r="6" spans="1:9" x14ac:dyDescent="0.25">
      <c r="B6" s="79"/>
      <c r="C6" s="79"/>
      <c r="D6" s="79"/>
      <c r="E6" s="79"/>
      <c r="F6" s="79"/>
      <c r="G6" s="81"/>
      <c r="H6" s="82"/>
      <c r="I6" s="83"/>
    </row>
    <row r="7" spans="1:9" x14ac:dyDescent="0.25">
      <c r="B7" s="79"/>
      <c r="C7" s="79"/>
      <c r="D7" s="79"/>
      <c r="E7" s="79"/>
      <c r="F7" s="79"/>
      <c r="G7" s="81"/>
      <c r="H7" s="82"/>
      <c r="I7" s="83"/>
    </row>
    <row r="8" spans="1:9" x14ac:dyDescent="0.25">
      <c r="B8" s="79"/>
      <c r="C8" s="79"/>
      <c r="D8" s="79"/>
      <c r="E8" s="79"/>
      <c r="F8" s="79"/>
      <c r="G8" s="82"/>
      <c r="H8" s="82"/>
    </row>
    <row r="9" spans="1:9" x14ac:dyDescent="0.25">
      <c r="A9" s="83"/>
      <c r="B9" s="79"/>
      <c r="C9" s="80"/>
      <c r="D9" s="80"/>
      <c r="E9" s="80"/>
      <c r="F9" s="80"/>
      <c r="G9" s="81"/>
      <c r="H9" s="81"/>
      <c r="I9" s="83"/>
    </row>
    <row r="10" spans="1:9" x14ac:dyDescent="0.25">
      <c r="B10" s="79"/>
      <c r="C10" s="79"/>
      <c r="D10" s="79"/>
      <c r="E10" s="79"/>
      <c r="F10" s="79"/>
      <c r="G10" s="82"/>
      <c r="H10" s="82"/>
    </row>
    <row r="11" spans="1:9" x14ac:dyDescent="0.25">
      <c r="B11" s="79"/>
      <c r="C11" s="80"/>
      <c r="D11" s="79"/>
      <c r="E11" s="80"/>
      <c r="F11" s="80"/>
      <c r="G11" s="81"/>
      <c r="H11" s="84"/>
      <c r="I11" s="85"/>
    </row>
    <row r="12" spans="1:9" x14ac:dyDescent="0.25">
      <c r="B12" s="79"/>
      <c r="C12" s="80"/>
      <c r="D12" s="79"/>
      <c r="E12" s="80"/>
      <c r="F12" s="80"/>
      <c r="G12" s="81"/>
      <c r="H12" s="84"/>
      <c r="I12" s="85"/>
    </row>
    <row r="13" spans="1:9" x14ac:dyDescent="0.25">
      <c r="B13" s="79"/>
      <c r="C13" s="79"/>
      <c r="D13" s="79"/>
      <c r="E13" s="79"/>
      <c r="F13" s="79"/>
      <c r="G13" s="81"/>
      <c r="H13" s="81"/>
    </row>
    <row r="14" spans="1:9" x14ac:dyDescent="0.25">
      <c r="B14" s="79"/>
      <c r="C14" s="80"/>
      <c r="D14" s="79"/>
      <c r="E14" s="80"/>
      <c r="F14" s="80"/>
      <c r="G14" s="81"/>
      <c r="H14" s="84"/>
    </row>
    <row r="15" spans="1:9" x14ac:dyDescent="0.25">
      <c r="B15" s="79"/>
      <c r="C15" s="80"/>
      <c r="D15" s="79"/>
      <c r="E15" s="80"/>
      <c r="F15" s="80"/>
      <c r="G15" s="81"/>
      <c r="H15" s="84"/>
    </row>
    <row r="16" spans="1:9" x14ac:dyDescent="0.25">
      <c r="B16" s="79"/>
      <c r="C16" s="79"/>
      <c r="D16" s="79"/>
      <c r="E16" s="79"/>
      <c r="F16" s="79"/>
      <c r="G16" s="82"/>
      <c r="H16" s="82"/>
    </row>
    <row r="17" spans="1:9" x14ac:dyDescent="0.25">
      <c r="B17" s="79"/>
      <c r="C17" s="79"/>
      <c r="D17" s="79"/>
      <c r="E17" s="79"/>
      <c r="F17" s="79"/>
      <c r="G17" s="82"/>
      <c r="H17" s="82"/>
      <c r="I17" s="83"/>
    </row>
    <row r="18" spans="1:9" x14ac:dyDescent="0.25">
      <c r="B18" s="79"/>
      <c r="C18" s="79"/>
      <c r="D18" s="79"/>
      <c r="E18" s="79"/>
      <c r="F18" s="79"/>
      <c r="G18" s="82"/>
      <c r="H18" s="82"/>
    </row>
    <row r="19" spans="1:9" x14ac:dyDescent="0.25">
      <c r="B19" s="79"/>
      <c r="C19" s="79"/>
      <c r="D19" s="79"/>
      <c r="E19" s="79"/>
      <c r="F19" s="79"/>
      <c r="G19" s="81"/>
      <c r="H19" s="81"/>
    </row>
    <row r="20" spans="1:9" x14ac:dyDescent="0.25">
      <c r="A20" s="83"/>
      <c r="B20" s="79"/>
      <c r="C20" s="79"/>
      <c r="D20" s="79"/>
      <c r="E20" s="79"/>
      <c r="F20" s="79"/>
      <c r="G20" s="81"/>
      <c r="H20" s="81"/>
    </row>
    <row r="21" spans="1:9" x14ac:dyDescent="0.25">
      <c r="A21" s="83"/>
      <c r="B21" s="79"/>
      <c r="C21" s="79"/>
      <c r="D21" s="79"/>
      <c r="E21" s="79"/>
      <c r="F21" s="79"/>
      <c r="G21" s="81"/>
      <c r="H21" s="81"/>
    </row>
    <row r="22" spans="1:9" x14ac:dyDescent="0.25">
      <c r="B22" s="79"/>
      <c r="C22" s="79"/>
      <c r="D22" s="79"/>
      <c r="E22" s="79"/>
      <c r="F22" s="79"/>
      <c r="G22" s="81"/>
      <c r="H22" s="81"/>
    </row>
    <row r="23" spans="1:9" x14ac:dyDescent="0.25">
      <c r="B23" s="79"/>
      <c r="C23" s="79"/>
      <c r="D23" s="79"/>
      <c r="E23" s="79"/>
      <c r="F23" s="79"/>
      <c r="G23" s="81"/>
      <c r="H23" s="82"/>
    </row>
    <row r="24" spans="1:9" x14ac:dyDescent="0.25">
      <c r="B24" s="79"/>
      <c r="C24" s="79"/>
      <c r="D24" s="79"/>
      <c r="E24" s="79"/>
      <c r="F24" s="79"/>
      <c r="G24" s="81"/>
      <c r="H24" s="81"/>
    </row>
    <row r="25" spans="1:9" x14ac:dyDescent="0.25">
      <c r="B25" s="79"/>
      <c r="C25" s="79"/>
      <c r="D25" s="79"/>
      <c r="E25" s="79"/>
      <c r="F25" s="79"/>
      <c r="G25" s="81"/>
      <c r="H25" s="82"/>
    </row>
    <row r="26" spans="1:9" x14ac:dyDescent="0.25">
      <c r="B26" s="79"/>
      <c r="C26" s="79"/>
      <c r="D26" s="79"/>
      <c r="E26" s="79"/>
      <c r="F26" s="79"/>
      <c r="G26" s="81"/>
      <c r="H26" s="82"/>
    </row>
    <row r="27" spans="1:9" x14ac:dyDescent="0.25">
      <c r="B27" s="79"/>
      <c r="C27" s="79"/>
      <c r="D27" s="79"/>
      <c r="E27" s="79"/>
      <c r="F27" s="79"/>
      <c r="G27" s="81"/>
      <c r="H27" s="82"/>
    </row>
    <row r="28" spans="1:9" x14ac:dyDescent="0.25">
      <c r="B28" s="79"/>
      <c r="C28" s="79"/>
      <c r="D28" s="79"/>
      <c r="E28" s="79"/>
      <c r="F28" s="79"/>
      <c r="G28" s="81"/>
      <c r="H28" s="82"/>
    </row>
    <row r="29" spans="1:9" x14ac:dyDescent="0.25">
      <c r="B29" s="79"/>
      <c r="C29" s="79"/>
      <c r="D29" s="79"/>
      <c r="E29" s="79"/>
      <c r="F29" s="79"/>
      <c r="G29" s="81"/>
      <c r="H29" s="84"/>
    </row>
    <row r="30" spans="1:9" x14ac:dyDescent="0.25">
      <c r="B30" s="79"/>
      <c r="C30" s="79"/>
      <c r="D30" s="79"/>
      <c r="E30" s="79"/>
      <c r="F30" s="79"/>
      <c r="G30" s="81"/>
      <c r="H30" s="84"/>
    </row>
    <row r="31" spans="1:9" x14ac:dyDescent="0.25">
      <c r="B31" s="79"/>
      <c r="C31" s="79"/>
      <c r="D31" s="79"/>
      <c r="E31" s="79"/>
      <c r="F31" s="79"/>
      <c r="G31" s="81"/>
      <c r="H31" s="84"/>
    </row>
    <row r="32" spans="1:9" x14ac:dyDescent="0.25">
      <c r="B32" s="79"/>
      <c r="C32" s="79"/>
      <c r="D32" s="79"/>
      <c r="E32" s="79"/>
      <c r="F32" s="79"/>
      <c r="G32" s="81"/>
      <c r="H32" s="84"/>
    </row>
    <row r="33" spans="1:8" x14ac:dyDescent="0.25">
      <c r="A33" s="83"/>
      <c r="B33" s="79"/>
      <c r="C33" s="83"/>
      <c r="D33" s="79"/>
      <c r="E33" s="80"/>
      <c r="F33" s="80"/>
      <c r="G33" s="83"/>
      <c r="H33" s="84"/>
    </row>
    <row r="34" spans="1:8" x14ac:dyDescent="0.25">
      <c r="A34" s="83"/>
      <c r="B34" s="79"/>
      <c r="C34" s="83"/>
      <c r="D34" s="79"/>
      <c r="E34" s="80"/>
      <c r="F34" s="80"/>
      <c r="G34" s="83"/>
      <c r="H34" s="84"/>
    </row>
    <row r="35" spans="1:8" x14ac:dyDescent="0.25">
      <c r="A35" s="83"/>
      <c r="B35" s="79"/>
      <c r="C35" s="83"/>
      <c r="D35" s="79"/>
      <c r="E35" s="80"/>
      <c r="F35" s="80"/>
      <c r="G35" s="81"/>
      <c r="H35" s="84"/>
    </row>
  </sheetData>
  <autoFilter ref="A1:I32" xr:uid="{00000000-0009-0000-0000-000004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2020-01-18T17:22:52Z</dcterms:modified>
</cp:coreProperties>
</file>