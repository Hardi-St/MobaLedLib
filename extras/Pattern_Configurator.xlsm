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16EAE574-4DC1-4BA8-B444-6C6785DFB018}" xr6:coauthVersionLast="45" xr6:coauthVersionMax="45" xr10:uidLastSave="{00000000-0000-0000-0000-000000000000}"/>
  <bookViews>
    <workbookView xWindow="21108" yWindow="0" windowWidth="20172" windowHeight="17280" tabRatio="881" xr2:uid="{00000000-000D-0000-FFFF-FFFF00000000}"/>
  </bookViews>
  <sheets>
    <sheet name="Main" sheetId="11" r:id="rId1"/>
    <sheet name="Languages" sheetId="73" state="hidden" r:id="rId2"/>
  </sheets>
  <functionGroups builtInGroupCount="19"/>
  <definedNames>
    <definedName name="Analog">Main!$E$28</definedName>
    <definedName name="Analoges_Überblenden">Main!$E$11</definedName>
    <definedName name="AnalogUeberbl">Main!$E$11</definedName>
    <definedName name="Bits_pro_Wert">Main!$E$6</definedName>
    <definedName name="DataBytes" localSheetId="0">Main!$K$39</definedName>
    <definedName name="Ende">Main!$E$37</definedName>
    <definedName name="ErsteRGBLED">Main!$E$2</definedName>
    <definedName name="FreeBits">Main!$E$34</definedName>
    <definedName name="FreeBits_BpC">Main!$E$32</definedName>
    <definedName name="Goto_Bytes">Main!$E$36</definedName>
    <definedName name="Goto_Mode">Main!$E$12</definedName>
    <definedName name="Grafische_Anzeige">Main!$E$13</definedName>
    <definedName name="HP0">#REF!</definedName>
    <definedName name="InChStr">Main!$H$30</definedName>
    <definedName name="InNrStr">Main!$H$30</definedName>
    <definedName name="InNrStr2">Main!$J$30</definedName>
    <definedName name="InputCh">Main!$E$30</definedName>
    <definedName name="Kanaele">Main!$E$5</definedName>
    <definedName name="Makro_Name">Main!$E$17</definedName>
    <definedName name="Mode">Main!$E$10</definedName>
    <definedName name="Pattern_Bytes">Main!$E$35</definedName>
    <definedName name="Pattern_u_FreeBits">Main!$E$33</definedName>
    <definedName name="SchalterNr">Main!$E$4</definedName>
    <definedName name="ShalterNr">Main!$E$4</definedName>
    <definedName name="Start">Main!$E$29</definedName>
    <definedName name="Startkanal">Main!$E$3</definedName>
    <definedName name="StCh_FreeBits_BpC">Main!$E$31</definedName>
    <definedName name="TimerBytes" localSheetId="0">Main!$H$39</definedName>
    <definedName name="Wert_ausgeschaltet">Main!$E$9</definedName>
    <definedName name="Wert_Min">Main!$E$7</definedName>
    <definedName name="Wert0">Main!$E$7</definedName>
    <definedName name="WertMax">Main!$E$8</definedName>
    <definedName name="Zeiten">Main!$E$26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5" i="11" l="1"/>
  <c r="J30" i="11" l="1"/>
  <c r="H30" i="11"/>
  <c r="D43" i="11" l="1"/>
  <c r="F9" i="11"/>
  <c r="F8" i="11"/>
  <c r="F7" i="11"/>
  <c r="F6" i="11"/>
  <c r="F5" i="11"/>
  <c r="F4" i="11"/>
  <c r="F3" i="11"/>
  <c r="F2" i="11"/>
  <c r="E30" i="11" l="1"/>
  <c r="E36" i="11"/>
  <c r="E28" i="11" l="1"/>
  <c r="E33" i="11"/>
  <c r="E35" i="11" l="1"/>
  <c r="GM1" i="11" l="1"/>
  <c r="K39" i="11" l="1"/>
  <c r="E34" i="11"/>
  <c r="AJ24" i="11"/>
  <c r="AI24" i="11" s="1"/>
  <c r="AH24" i="11" s="1"/>
  <c r="E31" i="11" l="1"/>
  <c r="E32" i="11"/>
  <c r="AJ25" i="11"/>
  <c r="AI25" i="11" s="1"/>
  <c r="F31" i="11" l="1"/>
  <c r="AH25" i="11"/>
  <c r="AG24" i="11"/>
  <c r="AF24" i="11" l="1"/>
  <c r="AG25" i="11"/>
  <c r="AF25" i="11" l="1"/>
  <c r="AE24" i="11"/>
  <c r="AE25" i="11" l="1"/>
  <c r="AD24" i="11"/>
  <c r="AD25" i="11" l="1"/>
  <c r="AC24" i="11"/>
  <c r="AC25" i="11" l="1"/>
  <c r="AB24" i="11"/>
  <c r="AA24" i="11" l="1"/>
  <c r="AB25" i="11"/>
  <c r="AA25" i="11" l="1"/>
  <c r="Z24" i="11"/>
  <c r="Z25" i="11" l="1"/>
  <c r="Y24" i="11"/>
  <c r="X24" i="11" l="1"/>
  <c r="Y25" i="11"/>
  <c r="X25" i="11" l="1"/>
  <c r="W24" i="11"/>
  <c r="W25" i="11" l="1"/>
  <c r="V24" i="11"/>
  <c r="V25" i="11" l="1"/>
  <c r="U24" i="11"/>
  <c r="U25" i="11" l="1"/>
  <c r="T24" i="11"/>
  <c r="S24" i="11" l="1"/>
  <c r="T25" i="11"/>
  <c r="S25" i="11" l="1"/>
  <c r="R24" i="11"/>
  <c r="R25" i="11" l="1"/>
  <c r="Q24" i="11"/>
  <c r="P24" i="11" l="1"/>
  <c r="Q25" i="11"/>
  <c r="P25" i="11" l="1"/>
  <c r="O24" i="11"/>
  <c r="O25" i="11" l="1"/>
  <c r="N24" i="11"/>
  <c r="N25" i="11" l="1"/>
  <c r="M24" i="11"/>
  <c r="M25" i="11" l="1"/>
  <c r="L24" i="11"/>
  <c r="K24" i="11" l="1"/>
  <c r="L25" i="11"/>
  <c r="K25" i="11" l="1"/>
  <c r="J24" i="11"/>
  <c r="I24" i="11" s="1"/>
  <c r="J25" i="11" l="1"/>
  <c r="H24" i="11" l="1"/>
  <c r="I25" i="11"/>
  <c r="H25" i="11" l="1"/>
  <c r="G24" i="11"/>
  <c r="G25" i="11" l="1"/>
  <c r="F24" i="11"/>
  <c r="F25" i="11" l="1"/>
  <c r="E24" i="11"/>
  <c r="E29" i="11" s="1"/>
  <c r="H39" i="11" l="1"/>
  <c r="E41" i="11" s="1"/>
  <c r="E25" i="11"/>
  <c r="E26" i="11" l="1"/>
  <c r="D23" i="11" s="1"/>
  <c r="E37" i="11" l="1"/>
  <c r="E38" i="11" l="1"/>
  <c r="E18" i="11"/>
  <c r="E2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0" shapeId="0" xr:uid="{00000000-0006-0000-0000-00000C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D000000}">
      <text>
        <r>
          <rPr>
            <sz val="9"/>
            <color indexed="81"/>
            <rFont val="Segoe UI"/>
            <family val="2"/>
          </rPr>
          <t>Diese Zeile kann in das Konfigurationsarray des Programms kopiert werden.</t>
        </r>
      </text>
    </comment>
    <comment ref="E42" authorId="0" shapeId="0" xr:uid="{00000000-0006-0000-0000-00000E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sharedStrings.xml><?xml version="1.0" encoding="utf-8"?>
<sst xmlns="http://schemas.openxmlformats.org/spreadsheetml/2006/main" count="475" uniqueCount="304">
  <si>
    <t>x</t>
  </si>
  <si>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</si>
  <si>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</si>
  <si>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</si>
  <si>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</si>
  <si>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</si>
  <si>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</si>
  <si>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</si>
  <si>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</si>
  <si>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</si>
  <si>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</si>
  <si>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</si>
  <si>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</si>
  <si>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</si>
  <si>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</si>
  <si>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</si>
  <si>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</si>
  <si>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</si>
  <si>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</si>
  <si>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</si>
  <si>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</si>
  <si>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</si>
  <si>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</si>
  <si>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</si>
  <si>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</si>
  <si>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</si>
  <si>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</si>
  <si>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</si>
  <si>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</si>
  <si>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</si>
  <si>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</si>
  <si>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</si>
  <si>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</si>
  <si>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</si>
  <si>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</si>
  <si>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</si>
  <si>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</si>
  <si>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</si>
  <si>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</si>
  <si>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</si>
  <si>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</si>
  <si>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</si>
  <si>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</si>
  <si>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</si>
  <si>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</si>
  <si>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</si>
  <si>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</si>
  <si>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</si>
  <si>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</si>
  <si>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</si>
  <si>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</si>
  <si>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</si>
  <si>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</si>
  <si>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</si>
  <si>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</si>
  <si>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</si>
  <si>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</si>
  <si>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</si>
  <si>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</si>
  <si>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</si>
  <si>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</si>
  <si>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</si>
  <si>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</si>
  <si>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</si>
  <si>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</si>
  <si>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</si>
  <si>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</si>
  <si>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</si>
  <si>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</si>
  <si>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D15</t>
  </si>
  <si>
    <t>D17</t>
  </si>
  <si>
    <t>D18</t>
  </si>
  <si>
    <t>E22</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</si>
  <si>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</si>
  <si>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</si>
  <si>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</si>
  <si>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</si>
  <si>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E23</t>
  </si>
  <si>
    <t>E44</t>
  </si>
  <si>
    <t>D44</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</si>
  <si>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</si>
  <si>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</si>
  <si>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</si>
  <si>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</si>
  <si>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</si>
  <si>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</si>
  <si>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</si>
  <si>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</si>
  <si>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</si>
  <si>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</si>
  <si>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</si>
  <si>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</si>
  <si>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</si>
  <si>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</si>
  <si>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</si>
  <si>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</si>
  <si>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</si>
  <si>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</si>
  <si>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</si>
  <si>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</si>
  <si>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</si>
  <si>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</si>
  <si>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E42</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</si>
  <si>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</si>
  <si>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</si>
  <si>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</si>
  <si>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</si>
  <si>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</si>
  <si>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</si>
  <si>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</si>
  <si>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</si>
  <si>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</si>
  <si>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</si>
  <si>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</si>
  <si>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 xml:space="preserve">Activates the automatic update of the graphical display of the LED values and the Goto arrows.
The display can also be updated via the button on the right.
To delete the graphic, enter 0 or press ALT + " Update ".
L: If only LED brightnesses should be displayed
G: If only the goto arrows should be displayed
1: Displays both
D: Adjusts the width of the columns to the duration. 'D' can be used together with the other flags. </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</si>
  <si>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</si>
  <si>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</si>
  <si>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</si>
  <si>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</si>
  <si>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</si>
  <si>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</si>
  <si>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</si>
  <si>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</si>
  <si>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</si>
  <si>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</si>
  <si>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</si>
  <si>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</si>
  <si>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</si>
  <si>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</si>
  <si>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</si>
  <si>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</si>
  <si>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</si>
  <si>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</si>
  <si>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</si>
  <si>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</si>
  <si>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</si>
  <si>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</si>
  <si>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</si>
  <si>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</si>
  <si>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</si>
  <si>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</si>
  <si>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</si>
  <si>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</si>
  <si>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E41</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</si>
  <si>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</si>
  <si>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</si>
  <si>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</si>
  <si>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</si>
  <si>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</si>
  <si>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</si>
  <si>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</si>
  <si>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</si>
  <si>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</si>
  <si>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</si>
  <si>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</si>
  <si>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</si>
  <si>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</si>
  <si>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</si>
  <si>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</si>
  <si>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</si>
  <si>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</si>
  <si>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</si>
  <si>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</si>
  <si>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</si>
  <si>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</si>
  <si>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"First RGB LED" "must be an integer between 0 and 255.
Names are also allowed. These can not be checked in Excel. "</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</si>
  <si>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</si>
  <si>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</si>
  <si>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</si>
  <si>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</si>
  <si>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</si>
  <si>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</si>
  <si>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</si>
  <si>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</si>
  <si>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</si>
  <si>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</si>
  <si>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</si>
  <si>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</si>
  <si>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</si>
  <si>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</si>
  <si>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</si>
  <si>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</si>
  <si>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</si>
  <si>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</si>
  <si>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</si>
  <si>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</si>
  <si>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</si>
  <si>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</si>
  <si>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</si>
  <si>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</si>
  <si>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</si>
  <si>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</si>
  <si>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</si>
  <si>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</si>
  <si>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</si>
  <si>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</si>
  <si>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</si>
  <si>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</si>
  <si>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</si>
  <si>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</si>
  <si>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</si>
  <si>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</si>
  <si>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</si>
  <si>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</si>
  <si>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</si>
  <si>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</si>
  <si>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</si>
  <si>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</si>
  <si>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</si>
  <si>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</si>
  <si>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</si>
  <si>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</si>
  <si>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</si>
  <si>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</si>
  <si>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</si>
  <si>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Enter the name of the picture</t>
  </si>
  <si>
    <t>Name des Bildes eingeben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</si>
  <si>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</si>
  <si>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</si>
  <si>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</si>
  <si>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</si>
  <si>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</si>
  <si>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</si>
  <si>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</si>
  <si>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</si>
  <si>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</si>
  <si>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</si>
  <si>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</si>
  <si>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</si>
  <si>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</si>
  <si>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</si>
  <si>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</si>
  <si>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</si>
  <si>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</si>
  <si>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</si>
  <si>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</si>
  <si>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</si>
  <si>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</si>
  <si>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</si>
  <si>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</si>
  <si>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</si>
  <si>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=IF(COUNTA(R[2]C[2]:R[9]C[33])=0,"Bitte Tabelle ausfüllen. Positionen an denen die LEDs leuchten sollen werden mit einem Zeichen (z.B. x) markiert. Bei einer leeren Zellen ist die LED aus.","")</t>
  </si>
  <si>
    <t>=IF(COUNTA(R[2]C[2]:R[9]C[33])=0,"Please fill in the table. Positions where the LEDs should light are marked with a character (for example, x). If the cell is empty, the LED is off.","")</t>
  </si>
  <si>
    <t>D43</t>
  </si>
  <si>
    <t>(Valid range: 1..63)</t>
  </si>
  <si>
    <t>(Gültiger Bereich: 1..63)</t>
  </si>
  <si>
    <t xml:space="preserve">Falsche oder fehlende Nummer in Spalte gefunden: </t>
  </si>
  <si>
    <t xml:space="preserve">Wrong or missing number found in column: </t>
  </si>
  <si>
    <t>=IF(Zeiten="","Bitte Dauer eintragen =&gt;","")</t>
  </si>
  <si>
    <t>D23</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</si>
  <si>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</si>
  <si>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</si>
  <si>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</si>
  <si>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</si>
  <si>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</si>
  <si>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</si>
  <si>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</si>
  <si>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</si>
  <si>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</si>
  <si>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</si>
  <si>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</si>
  <si>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</si>
  <si>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</si>
  <si>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</si>
  <si>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</si>
  <si>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</si>
  <si>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</si>
  <si>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</si>
  <si>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</si>
  <si>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</si>
  <si>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</si>
  <si>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</si>
  <si>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</si>
  <si>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</si>
  <si>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</si>
  <si>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</si>
  <si>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</si>
  <si>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</si>
  <si>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</si>
  <si>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</si>
  <si>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</si>
  <si>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</si>
  <si>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</si>
  <si>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</si>
  <si>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</si>
  <si>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</si>
  <si>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</si>
  <si>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</si>
  <si>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</si>
  <si>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</si>
  <si>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</si>
  <si>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Saves all sample pages in the "MyExamples.txt" file in the directory |"My Documents\MyPattern_Config_Examples".</t>
  </si>
  <si>
    <t>Löscht die aktuelle, oder alle ausgewählten Seiten.|
(Mehrere Seiten können mit Strg+Klick auf den Seitennamen ausgewählt werden.)</t>
  </si>
  <si>
    <t xml:space="preserve">Deletes the current or all selected pages.|(Several pages can be selected with Ctrl + click on the page name.) </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</si>
  <si>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</si>
  <si>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</si>
  <si>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</si>
  <si>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</si>
  <si>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</si>
  <si>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</si>
  <si>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1 sek</t>
  </si>
  <si>
    <t>Beispiele geladen</t>
  </si>
  <si>
    <t>Examples loaded</t>
  </si>
  <si>
    <t>Ver.: 0.82   29.10.19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</si>
</sst>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0"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2">
    <xf numFmtId="0" fontId="0" fillId="0" borderId="0"/>
    <xf numFmtId="0" fontId="18" fillId="0" borderId="0" applyNumberFormat="0" applyFill="0" applyBorder="0" applyAlignment="0" applyProtection="0"/>
  </cellStyleXfs>
  <cellXfs count="73">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1" xfId="0" applyBorder="1" applyAlignment="1" applyProtection="1">
      <alignment horizontal="center"/>
      <protection locked="0"/>
    </xf>
    <xf numFmtId="0" fontId="0" fillId="0" borderId="1" xfId="0" applyNumberFormat="1" applyBorder="1" applyAlignment="1" applyProtection="1">
      <alignment horizontal="center"/>
      <protection locked="0"/>
    </xf>
    <xf numFmtId="0" fontId="0" fillId="0" borderId="1" xfId="0" applyBorder="1" applyProtection="1">
      <protection locked="0"/>
    </xf>
    <xf numFmtId="0" fontId="0" fillId="0" borderId="0" xfId="0" applyProtection="1">
      <protection locked="0"/>
    </xf>
    <xf numFmtId="0" fontId="0" fillId="0" borderId="0" xfId="0" applyBorder="1"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0" fillId="0" borderId="0" xfId="0" applyFont="1" applyProtection="1">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xf>
    <xf numFmtId="0" fontId="17" fillId="6" borderId="0" xfId="0" applyFont="1" applyFill="1" applyAlignment="1">
      <alignment horizontal="center" vertical="top"/>
    </xf>
    <xf numFmtId="0" fontId="0" fillId="0" borderId="0" xfId="0" applyAlignment="1">
      <alignment horizontal="center" vertical="top"/>
    </xf>
    <xf numFmtId="0" fontId="17" fillId="6" borderId="0" xfId="0" applyFont="1" applyFill="1" applyAlignment="1">
      <alignment vertical="top"/>
    </xf>
    <xf numFmtId="0" fontId="0" fillId="0" borderId="0" xfId="0" applyAlignment="1">
      <alignment vertical="top" wrapText="1"/>
    </xf>
    <xf numFmtId="0" fontId="0" fillId="0" borderId="0" xfId="0" applyFont="1" applyAlignment="1">
      <alignment vertical="top" wrapText="1"/>
    </xf>
    <xf numFmtId="0" fontId="0" fillId="0" borderId="0" xfId="0" quotePrefix="1"/>
    <xf numFmtId="0" fontId="0" fillId="0" borderId="0" xfId="0" applyAlignment="1">
      <alignment horizontal="left" vertical="top" wrapText="1"/>
    </xf>
    <xf numFmtId="0" fontId="0" fillId="0" borderId="0" xfId="0" applyAlignment="1">
      <alignment horizontal="left" vertical="top"/>
    </xf>
    <xf numFmtId="0" fontId="18" fillId="0" borderId="0" xfId="1"/>
    <xf numFmtId="0" fontId="19" fillId="6" borderId="0" xfId="0" applyFont="1" applyFill="1" applyAlignment="1">
      <alignment horizontal="center" vertical="top"/>
    </xf>
    <xf numFmtId="0" fontId="1" fillId="0" borderId="0" xfId="0" applyFont="1" applyAlignment="1">
      <alignment horizontal="right"/>
    </xf>
    <xf numFmtId="0" fontId="0" fillId="0" borderId="0" xfId="0" applyAlignment="1">
      <alignment wrapText="1"/>
    </xf>
    <xf numFmtId="0" fontId="0" fillId="0" borderId="1" xfId="0" applyBorder="1"/>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cellXfs>
  <cellStyles count="2">
    <cellStyle name="Link" xfId="1" builtinId="8"/>
    <cellStyle name="Standard" xfId="0" builtinId="0"/>
  </cellStyles>
  <dxfs count="11">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FFFF00"/>
      <color rgb="FF806000"/>
      <color rgb="FF608000"/>
      <color rgb="FFFFFF01"/>
      <color rgb="FFFFFF99"/>
      <color rgb="FFFFFF66"/>
      <color rgb="FF00B4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xdr:colOff>
          <xdr:row>12</xdr:row>
          <xdr:rowOff>0</xdr:rowOff>
        </xdr:from>
        <xdr:to>
          <xdr:col>7</xdr:col>
          <xdr:colOff>60960</xdr:colOff>
          <xdr:row>13</xdr:row>
          <xdr:rowOff>22860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absolute">
    <xdr:from>
      <xdr:col>11</xdr:col>
      <xdr:colOff>238125</xdr:colOff>
      <xdr:row>0</xdr:row>
      <xdr:rowOff>9525</xdr:rowOff>
    </xdr:from>
    <xdr:to>
      <xdr:col>37</xdr:col>
      <xdr:colOff>202464</xdr:colOff>
      <xdr:row>9</xdr:row>
      <xdr:rowOff>33424</xdr:rowOff>
    </xdr:to>
    <xdr:sp macro="" textlink="">
      <xdr:nvSpPr>
        <xdr:cNvPr id="3" name="Description Message">
          <a:extLst>
            <a:ext uri="{FF2B5EF4-FFF2-40B4-BE49-F238E27FC236}">
              <a16:creationId xmlns:a16="http://schemas.microsoft.com/office/drawing/2014/main" id="{00000000-0008-0000-0000-000003000000}"/>
            </a:ext>
          </a:extLst>
        </xdr:cNvPr>
        <xdr:cNvSpPr txBox="1"/>
      </xdr:nvSpPr>
      <xdr:spPr>
        <a:xfrm>
          <a:off x="6477000" y="9525"/>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sz="1100" b="1"/>
            <a:t>Mit diesem Blatt kann die Konfiguration eines LED Musters erstellt werden. 
</a:t>
          </a:r>
          <a:r>
            <a:rPr lang="en-US"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mc:AlternateContent xmlns:mc="http://schemas.openxmlformats.org/markup-compatibility/2006">
    <mc:Choice xmlns:a14="http://schemas.microsoft.com/office/drawing/2010/main" Requires="a14">
      <xdr:twoCellAnchor editAs="absolute">
        <xdr:from>
          <xdr:col>5</xdr:col>
          <xdr:colOff>99060</xdr:colOff>
          <xdr:row>0</xdr:row>
          <xdr:rowOff>38100</xdr:rowOff>
        </xdr:from>
        <xdr:to>
          <xdr:col>7</xdr:col>
          <xdr:colOff>45720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oneCell">
    <xdr:from>
      <xdr:col>0</xdr:col>
      <xdr:colOff>47626</xdr:colOff>
      <xdr:row>0</xdr:row>
      <xdr:rowOff>38100</xdr:rowOff>
    </xdr:from>
    <xdr:to>
      <xdr:col>0</xdr:col>
      <xdr:colOff>364436</xdr:colOff>
      <xdr:row>1</xdr:row>
      <xdr:rowOff>95250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100"/>
          <a:ext cx="316810" cy="323850"/>
        </a:xfrm>
        <a:prstGeom prst="rect">
          <a:avLst/>
        </a:prstGeom>
      </xdr:spPr>
    </xdr:pic>
    <xdr:clientData/>
  </xdr:twoCellAnchor>
  <xdr:twoCellAnchor editAs="absolute">
    <xdr:from>
      <xdr:col>9</xdr:col>
      <xdr:colOff>381000</xdr:colOff>
      <xdr:row>0</xdr:row>
      <xdr:rowOff>0</xdr:rowOff>
    </xdr:from>
    <xdr:to>
      <xdr:col>11</xdr:col>
      <xdr:colOff>56095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GM335"/>
  <sheetViews>
    <sheetView showGridLines="0" showRowColHeaders="0" tabSelected="1" zoomScaleNormal="100" workbookViewId="0">
      <selection activeCell="D54" sqref="D54"/>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24" width="7.44140625" customWidth="1"/>
    <col min="25" max="60" width="3.88671875" customWidth="1"/>
    <col min="61" max="65" width="3.5546875" customWidth="1"/>
    <col min="66" max="152" width="3.88671875" customWidth="1"/>
  </cols>
  <sheetData>
    <row r="1" spans="3:195" ht="21" x14ac:dyDescent="0.3">
      <c r="C1" s="44"/>
      <c r="D1" s="28" t="s">
        <v>303</v>
      </c>
      <c r="E1" s="43"/>
      <c r="F1" s="22"/>
      <c r="G1" s="22"/>
      <c r="H1" s="22"/>
      <c r="I1" s="22"/>
      <c r="J1" s="22"/>
      <c r="K1" s="4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GM1" t="e">
        <f>+FV:GME26FX:GMFR:GMFN:GMFJ:GMFF:GMFB:GMBE:GM</f>
        <v>#NAME?</v>
      </c>
    </row>
    <row r="2" spans="3:195" x14ac:dyDescent="0.3">
      <c r="D2" s="1" t="s">
        <v>2</v>
      </c>
      <c r="E2" s="45">
        <v>0</v>
      </c>
      <c r="F2" s="4" t="str">
        <f>IF(E2="","&lt;= Bitte erste RGB LED des Musters eingeben","")</f>
        <v/>
      </c>
      <c r="H2" s="22"/>
      <c r="I2" s="22"/>
      <c r="J2" s="67"/>
      <c r="K2" s="67"/>
      <c r="L2" s="67"/>
      <c r="M2" s="68"/>
      <c r="N2" s="69"/>
      <c r="O2" s="67"/>
      <c r="P2" s="67"/>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row>
    <row r="3" spans="3:195" x14ac:dyDescent="0.3">
      <c r="D3" s="1" t="s">
        <v>8</v>
      </c>
      <c r="E3" s="45">
        <v>0</v>
      </c>
      <c r="F3" s="4" t="str">
        <f>IF(OR(AND(E3 &lt;&gt;"",E3=0),E3=1,E3=2),"","&lt;= Bitte Startkanal innerhalb der RGB LED angeben")</f>
        <v/>
      </c>
      <c r="H3" s="22"/>
      <c r="I3" s="22"/>
      <c r="J3" s="67"/>
      <c r="K3" s="67"/>
      <c r="L3" s="67"/>
      <c r="M3" s="68"/>
      <c r="N3" s="69"/>
      <c r="O3" s="67"/>
      <c r="P3" s="67"/>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row>
    <row r="4" spans="3:195" x14ac:dyDescent="0.3">
      <c r="D4" s="1" t="s">
        <v>3</v>
      </c>
      <c r="E4" s="45" t="s">
        <v>25</v>
      </c>
      <c r="F4" s="4" t="str">
        <f>IF(E4="","&lt;= Bitte Nummer des Schalters eingeben","")</f>
        <v/>
      </c>
      <c r="H4" s="22"/>
      <c r="I4" s="22"/>
      <c r="J4" s="67"/>
      <c r="K4" s="67"/>
      <c r="L4" s="70"/>
      <c r="M4" s="68"/>
      <c r="N4" s="69"/>
      <c r="O4" s="67"/>
      <c r="P4" s="67"/>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row>
    <row r="5" spans="3:195" x14ac:dyDescent="0.3">
      <c r="D5" s="1" t="s">
        <v>4</v>
      </c>
      <c r="E5" s="45">
        <v>2</v>
      </c>
      <c r="F5" s="4" t="str">
        <f>IF(AND(ISNUMBER(Kanaele),Kanaele&gt;0,Kanaele&lt;=100),"","&lt;- Bitte Anzahl der Kanäle eingeben(1..100)")</f>
        <v/>
      </c>
      <c r="H5" s="22"/>
      <c r="I5" s="22"/>
      <c r="J5" s="67"/>
      <c r="K5" s="67"/>
      <c r="L5" s="67"/>
      <c r="M5" s="67"/>
      <c r="N5" s="67"/>
      <c r="O5" s="67"/>
      <c r="P5" s="67"/>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row>
    <row r="6" spans="3:195" x14ac:dyDescent="0.3">
      <c r="D6" s="1" t="s">
        <v>37</v>
      </c>
      <c r="E6" s="45">
        <v>1</v>
      </c>
      <c r="F6" t="str">
        <f>CONCATENATE("  =&gt; ",2^Bits_pro_Wert," Helligkeitsstufen (0..",2^Bits_pro_Wert-1,")")</f>
        <v xml:space="preserve">  =&gt; 2 Helligkeitsstufen (0..1)</v>
      </c>
      <c r="H6" s="22"/>
      <c r="I6" s="22"/>
      <c r="J6" s="67"/>
      <c r="K6" s="67"/>
      <c r="L6" s="67"/>
      <c r="M6" s="67"/>
      <c r="N6" s="67"/>
      <c r="O6" s="67"/>
      <c r="P6" s="67"/>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row>
    <row r="7" spans="3:195" x14ac:dyDescent="0.3">
      <c r="D7" s="1" t="s">
        <v>17</v>
      </c>
      <c r="E7" s="45">
        <v>0</v>
      </c>
      <c r="F7" s="4" t="str">
        <f>IF(OR(E7="",E7&lt;0,E7&gt;255),"&lt;= Bitte Wert für nicht aktive LED angeben (0..255)","")</f>
        <v/>
      </c>
      <c r="H7" s="22"/>
      <c r="I7" s="22"/>
      <c r="J7" s="67"/>
      <c r="K7" s="67"/>
      <c r="L7" s="67"/>
      <c r="M7" s="67"/>
      <c r="N7" s="67"/>
      <c r="O7" s="67"/>
      <c r="P7" s="67"/>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row>
    <row r="8" spans="3:195" x14ac:dyDescent="0.3">
      <c r="D8" s="1" t="s">
        <v>16</v>
      </c>
      <c r="E8" s="45">
        <v>128</v>
      </c>
      <c r="F8" s="4" t="str">
        <f>IF(OR(E8="",E8&lt;0,E8&gt;255),"&lt;= Bitte Wert für aktive LED angeben (0..255)","")</f>
        <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3:195" x14ac:dyDescent="0.3">
      <c r="D9" s="1" t="s">
        <v>5</v>
      </c>
      <c r="E9" s="45">
        <v>0</v>
      </c>
      <c r="F9" s="4" t="str">
        <f>IF(OR(E9="",E9&lt;0,E9&gt;255),"&lt;= Bitte LED Wert angeben wenn Schalter aus ist","")</f>
        <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row>
    <row r="10" spans="3:195" x14ac:dyDescent="0.3">
      <c r="D10" s="1" t="s">
        <v>14</v>
      </c>
      <c r="E10" s="45">
        <v>0</v>
      </c>
      <c r="F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row>
    <row r="11" spans="3:195" x14ac:dyDescent="0.3">
      <c r="D11" s="1" t="s">
        <v>51</v>
      </c>
      <c r="E11" s="45">
        <v>0</v>
      </c>
      <c r="F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row>
    <row r="12" spans="3:195" x14ac:dyDescent="0.3">
      <c r="D12" s="1" t="s">
        <v>175</v>
      </c>
      <c r="E12" s="45"/>
      <c r="F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row>
    <row r="13" spans="3:195" x14ac:dyDescent="0.3">
      <c r="D13" s="1" t="s">
        <v>52</v>
      </c>
      <c r="E13" s="45"/>
      <c r="F13" s="46"/>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row>
    <row r="14" spans="3:195" ht="7.2" customHeight="1" x14ac:dyDescent="0.3">
      <c r="G14" s="18"/>
      <c r="H14" s="18"/>
      <c r="I14" s="18"/>
      <c r="J14" s="18"/>
      <c r="K14" s="18"/>
      <c r="L14" s="18"/>
      <c r="M14" s="18"/>
      <c r="N14" s="18"/>
      <c r="O14" s="18"/>
      <c r="P14" s="18"/>
      <c r="Q14" s="18"/>
      <c r="R14" s="18"/>
      <c r="S14" s="18"/>
      <c r="T14" s="18"/>
      <c r="U14" s="18"/>
      <c r="V14" s="18"/>
      <c r="W14" s="18"/>
      <c r="X14" s="18"/>
      <c r="Y14" s="18"/>
      <c r="Z14" s="18"/>
      <c r="AA14" s="18"/>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row>
    <row r="15" spans="3:195" ht="15.6" x14ac:dyDescent="0.3">
      <c r="D15" s="13" t="s">
        <v>1</v>
      </c>
      <c r="E15" s="12" t="str">
        <f>CONCATENATE(Start,ErsteRGBLED,",",StCh_FreeBits_BpC,",",InputCh,",",Ende,"     // ",Makro_Name)</f>
        <v>PatternT1(0,128,SI_1,2,0,128,0,0,1 sek,9)     // Wechselblinker</v>
      </c>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row>
    <row r="16" spans="3:195" ht="7.95" customHeight="1" x14ac:dyDescent="0.3">
      <c r="D16" s="13"/>
      <c r="E16" s="1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row>
    <row r="17" spans="2:74" x14ac:dyDescent="0.3">
      <c r="D17" s="13" t="s">
        <v>10</v>
      </c>
      <c r="E17" s="45" t="s">
        <v>26</v>
      </c>
      <c r="F17" s="46"/>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row>
    <row r="18" spans="2:74" ht="15.6" x14ac:dyDescent="0.3">
      <c r="D18" s="13" t="s">
        <v>9</v>
      </c>
      <c r="E18" s="24" t="str">
        <f>CONCATENATE("#define ",IF(Makro_Name="","Makro_Name",Makro_Name),"(LED",InNrStr,")                       ",Start,"LED,",StCh_FreeBits_BpC,",",InNrStr2,",",Ende)</f>
        <v>#define Wechselblinker(LED,InCh)                       PatternT1(LED,128,InCh,2,0,128,0,0,1 sek,9)</v>
      </c>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row>
    <row r="19" spans="2:74" ht="4.95" customHeight="1" x14ac:dyDescent="0.3">
      <c r="D19" s="13"/>
      <c r="E19" s="24"/>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row>
    <row r="20" spans="2:74" ht="15.6" x14ac:dyDescent="0.3">
      <c r="D20" s="13"/>
      <c r="E20" s="27" t="str">
        <f>CONCATENATE("#define ",IF(Makro_Name="","Makro_Name",Makro_Name),"_StCh(LED,StCh",InNrStr,")     ",Start,"LED,","StCh+",FreeBits_BpC,",",InNrStr2,",",Ende)</f>
        <v>#define Wechselblinker_StCh(LED,StCh,InCh)     PatternT1(LED,StCh+128,InCh,2,0,128,0,0,1 sek,9)</v>
      </c>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row>
    <row r="21" spans="2:74" ht="3" customHeight="1" x14ac:dyDescent="0.3">
      <c r="D21" s="13"/>
      <c r="E21" s="27"/>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row>
    <row r="22" spans="2:74" x14ac:dyDescent="0.3">
      <c r="E22" t="s">
        <v>73</v>
      </c>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row>
    <row r="23" spans="2:74" x14ac:dyDescent="0.3">
      <c r="B23" s="3"/>
      <c r="C23" s="3"/>
      <c r="D23" s="64" t="str">
        <f>IF(Zeiten="","Bitte Dauer eintragen =&gt;","")</f>
        <v/>
      </c>
      <c r="E23" s="52" t="s">
        <v>74</v>
      </c>
      <c r="F23" s="40" t="s">
        <v>300</v>
      </c>
      <c r="G23" s="19"/>
      <c r="H23" s="19"/>
      <c r="I23" s="20"/>
      <c r="J23" s="20"/>
      <c r="K23" s="19"/>
      <c r="L23" s="19"/>
      <c r="M23" s="19"/>
      <c r="N23" s="19"/>
      <c r="O23" s="19"/>
      <c r="P23" s="19"/>
      <c r="Q23" s="19"/>
      <c r="R23" s="19"/>
      <c r="S23" s="19"/>
      <c r="T23" s="19"/>
      <c r="U23" s="19"/>
      <c r="V23" s="19"/>
      <c r="W23" s="19"/>
      <c r="X23" s="21"/>
      <c r="Y23" s="21"/>
      <c r="Z23" s="66"/>
      <c r="AA23" s="66"/>
      <c r="AB23" s="66"/>
      <c r="AC23" s="21"/>
      <c r="AD23" s="21"/>
      <c r="AE23" s="21"/>
      <c r="AF23" s="21"/>
      <c r="AG23" s="21"/>
      <c r="AH23" s="21"/>
      <c r="AI23" s="21"/>
      <c r="AJ23" s="23"/>
      <c r="AK23" s="23"/>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row>
    <row r="24" spans="2:74" s="2" customFormat="1" hidden="1" x14ac:dyDescent="0.3">
      <c r="D24" s="9"/>
      <c r="E24" s="10" t="str">
        <f t="shared" ref="E24:AJ24" si="0">IF(AND(_xlfn.ISFORMULA(F23),F24=""),"",IF(F23&lt;&gt;"",F23,""))</f>
        <v>1 sek</v>
      </c>
      <c r="F24" s="10" t="str">
        <f t="shared" si="0"/>
        <v/>
      </c>
      <c r="G24" s="10" t="str">
        <f t="shared" si="0"/>
        <v/>
      </c>
      <c r="H24" s="10" t="str">
        <f t="shared" si="0"/>
        <v/>
      </c>
      <c r="I24" s="10" t="str">
        <f>IF(AND(_xlfn.ISFORMULA(J23),J24=""),"",IF(J23&lt;&gt;"",J23,""))</f>
        <v/>
      </c>
      <c r="J24" s="10" t="str">
        <f t="shared" si="0"/>
        <v/>
      </c>
      <c r="K24" s="10" t="str">
        <f t="shared" si="0"/>
        <v/>
      </c>
      <c r="L24" s="10" t="str">
        <f t="shared" si="0"/>
        <v/>
      </c>
      <c r="M24" s="10" t="str">
        <f t="shared" si="0"/>
        <v/>
      </c>
      <c r="N24" s="10" t="str">
        <f t="shared" si="0"/>
        <v/>
      </c>
      <c r="O24" s="10" t="str">
        <f t="shared" si="0"/>
        <v/>
      </c>
      <c r="P24" s="10" t="str">
        <f t="shared" si="0"/>
        <v/>
      </c>
      <c r="Q24" s="10" t="str">
        <f t="shared" si="0"/>
        <v/>
      </c>
      <c r="R24" s="10" t="str">
        <f t="shared" si="0"/>
        <v/>
      </c>
      <c r="S24" s="10" t="str">
        <f t="shared" si="0"/>
        <v/>
      </c>
      <c r="T24" s="10" t="str">
        <f t="shared" si="0"/>
        <v/>
      </c>
      <c r="U24" s="10" t="str">
        <f t="shared" si="0"/>
        <v/>
      </c>
      <c r="V24" s="10" t="str">
        <f t="shared" si="0"/>
        <v/>
      </c>
      <c r="W24" s="10" t="str">
        <f t="shared" si="0"/>
        <v/>
      </c>
      <c r="X24" s="10" t="str">
        <f t="shared" si="0"/>
        <v/>
      </c>
      <c r="Y24" s="10" t="str">
        <f t="shared" si="0"/>
        <v/>
      </c>
      <c r="Z24" s="10" t="str">
        <f t="shared" si="0"/>
        <v/>
      </c>
      <c r="AA24" s="10" t="str">
        <f t="shared" si="0"/>
        <v/>
      </c>
      <c r="AB24" s="10" t="str">
        <f t="shared" si="0"/>
        <v/>
      </c>
      <c r="AC24" s="10" t="str">
        <f t="shared" si="0"/>
        <v/>
      </c>
      <c r="AD24" s="10" t="str">
        <f t="shared" si="0"/>
        <v/>
      </c>
      <c r="AE24" s="10" t="str">
        <f t="shared" si="0"/>
        <v/>
      </c>
      <c r="AF24" s="10" t="str">
        <f t="shared" si="0"/>
        <v/>
      </c>
      <c r="AG24" s="10" t="str">
        <f t="shared" si="0"/>
        <v/>
      </c>
      <c r="AH24" s="10" t="str">
        <f>IF(AND(_xlfn.ISFORMULA(AI23),AI24=""),"",IF(AI23&lt;&gt;"",AI23,""))</f>
        <v/>
      </c>
      <c r="AI24" s="10" t="str">
        <f t="shared" si="0"/>
        <v/>
      </c>
      <c r="AJ24" s="10" t="str">
        <f t="shared" si="0"/>
        <v/>
      </c>
    </row>
    <row r="25" spans="2:74" s="2" customFormat="1" hidden="1" x14ac:dyDescent="0.3">
      <c r="E25" s="2" t="str">
        <f>IF(OR(E24&lt;&gt;"",F25&lt;&gt;""),CONCATENATE(",",IF(E24="","!",E24)),"")</f>
        <v>,1 sek</v>
      </c>
      <c r="F25" s="2" t="str">
        <f t="shared" ref="F25:AJ25" si="1">IF(OR(F24&lt;&gt;"",G25&lt;&gt;""),CONCATENATE(",",IF(F24="","!",F24)),"")</f>
        <v/>
      </c>
      <c r="G25" s="2" t="str">
        <f t="shared" si="1"/>
        <v/>
      </c>
      <c r="H25" s="2" t="str">
        <f t="shared" si="1"/>
        <v/>
      </c>
      <c r="I25" s="2" t="str">
        <f t="shared" si="1"/>
        <v/>
      </c>
      <c r="J25" s="2" t="str">
        <f t="shared" si="1"/>
        <v/>
      </c>
      <c r="K25" s="2" t="str">
        <f t="shared" si="1"/>
        <v/>
      </c>
      <c r="L25" s="2" t="str">
        <f t="shared" si="1"/>
        <v/>
      </c>
      <c r="M25" s="2" t="str">
        <f t="shared" si="1"/>
        <v/>
      </c>
      <c r="N25" s="2" t="str">
        <f t="shared" si="1"/>
        <v/>
      </c>
      <c r="O25" s="2" t="str">
        <f t="shared" si="1"/>
        <v/>
      </c>
      <c r="P25" s="2" t="str">
        <f t="shared" si="1"/>
        <v/>
      </c>
      <c r="Q25" s="2" t="str">
        <f t="shared" si="1"/>
        <v/>
      </c>
      <c r="R25" s="2" t="str">
        <f t="shared" si="1"/>
        <v/>
      </c>
      <c r="S25" s="2" t="str">
        <f t="shared" si="1"/>
        <v/>
      </c>
      <c r="T25" s="2" t="str">
        <f t="shared" si="1"/>
        <v/>
      </c>
      <c r="U25" s="2" t="str">
        <f t="shared" si="1"/>
        <v/>
      </c>
      <c r="V25" s="2" t="str">
        <f t="shared" si="1"/>
        <v/>
      </c>
      <c r="W25" s="2" t="str">
        <f t="shared" si="1"/>
        <v/>
      </c>
      <c r="X25" s="2" t="str">
        <f t="shared" si="1"/>
        <v/>
      </c>
      <c r="Y25" s="2" t="str">
        <f t="shared" si="1"/>
        <v/>
      </c>
      <c r="Z25" s="2" t="str">
        <f t="shared" si="1"/>
        <v/>
      </c>
      <c r="AA25" s="2" t="str">
        <f t="shared" si="1"/>
        <v/>
      </c>
      <c r="AB25" s="2" t="str">
        <f t="shared" si="1"/>
        <v/>
      </c>
      <c r="AC25" s="2" t="str">
        <f t="shared" si="1"/>
        <v/>
      </c>
      <c r="AD25" s="2" t="str">
        <f t="shared" si="1"/>
        <v/>
      </c>
      <c r="AE25" s="2" t="str">
        <f t="shared" si="1"/>
        <v/>
      </c>
      <c r="AF25" s="2" t="str">
        <f t="shared" si="1"/>
        <v/>
      </c>
      <c r="AG25" s="2" t="str">
        <f t="shared" si="1"/>
        <v/>
      </c>
      <c r="AH25" s="2" t="str">
        <f t="shared" si="1"/>
        <v/>
      </c>
      <c r="AI25" s="2" t="str">
        <f t="shared" si="1"/>
        <v/>
      </c>
      <c r="AJ25" s="2" t="str">
        <f t="shared" si="1"/>
        <v/>
      </c>
    </row>
    <row r="26" spans="2:74" s="2" customFormat="1" hidden="1" x14ac:dyDescent="0.3">
      <c r="D26" s="14" t="s">
        <v>6</v>
      </c>
      <c r="E26" s="11" t="str">
        <f>CONCATENATE(E25,F25,G25,H25,I25,J25,K25,L25,M25,N25,O25,P25,Q25,R25,S25,T25,U25,V25,W25,X25,Y25,Z25,AA25,AB25,AC25,AD25,AE25,AF25,AG25,AH25)</f>
        <v>,1 sek</v>
      </c>
      <c r="K26" s="10"/>
      <c r="L26" s="10"/>
      <c r="M26" s="6"/>
      <c r="N26" s="6"/>
      <c r="O26" s="6"/>
      <c r="P26" s="6"/>
      <c r="Q26" s="6"/>
      <c r="R26" s="6"/>
      <c r="S26" s="6"/>
      <c r="T26" s="6"/>
      <c r="U26" s="6"/>
      <c r="V26" s="6"/>
      <c r="W26" s="6"/>
      <c r="X26" s="6"/>
      <c r="Y26" s="6"/>
      <c r="Z26" s="6"/>
      <c r="AA26" s="6"/>
      <c r="AB26" s="6"/>
      <c r="AC26" s="6"/>
      <c r="AD26" s="6"/>
      <c r="AE26" s="6"/>
      <c r="AF26" s="6"/>
      <c r="AG26" s="6"/>
      <c r="AH26" s="6"/>
      <c r="AI26" s="6"/>
      <c r="AJ26" s="6"/>
    </row>
    <row r="27" spans="2:74" s="2" customFormat="1" hidden="1" x14ac:dyDescent="0.3">
      <c r="D27" s="14"/>
      <c r="E27" s="11"/>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74" s="2" customFormat="1" hidden="1" x14ac:dyDescent="0.3">
      <c r="D28" s="25" t="s">
        <v>15</v>
      </c>
      <c r="E28" s="2" t="str">
        <f>IF(OR(Analoges_Überblenden="",Analoges_Überblenden=0,Analoges_Überblenden="N",Analoges_Überblenden="n"),"",IF(Analoges_Überblenden="X","X","A"))</f>
        <v/>
      </c>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74" s="2" customFormat="1" hidden="1" x14ac:dyDescent="0.3">
      <c r="D29" s="25" t="s">
        <v>7</v>
      </c>
      <c r="E29" s="11" t="str">
        <f>CONCATENATE(Analog,"PatternT",32-COUNTIF(E24:AJ24,""),"(")</f>
        <v>PatternT1(</v>
      </c>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74" s="2" customFormat="1" hidden="1" x14ac:dyDescent="0.3">
      <c r="D30" s="25" t="s">
        <v>30</v>
      </c>
      <c r="E30" s="11" t="str">
        <f>IF(Goto_Mode=1,"SI_LocalVar",SchalterNr)</f>
        <v>SI_1</v>
      </c>
      <c r="G30" s="30" t="s">
        <v>31</v>
      </c>
      <c r="H30" s="2" t="str">
        <f>IF(Goto_Mode=1,"",",InCh")</f>
        <v>,InCh</v>
      </c>
      <c r="I30" s="30" t="s">
        <v>32</v>
      </c>
      <c r="J30" s="11" t="str">
        <f>IF(Goto_Mode=1,"SI_LocalVar","InCh")</f>
        <v>InCh</v>
      </c>
      <c r="L30" s="30"/>
      <c r="N30" s="6"/>
      <c r="Q30" s="6"/>
      <c r="R30" s="6"/>
      <c r="S30" s="6"/>
      <c r="T30" s="6"/>
      <c r="U30" s="6"/>
      <c r="V30" s="6"/>
      <c r="W30" s="6"/>
      <c r="X30" s="6"/>
      <c r="Y30" s="6"/>
      <c r="Z30" s="6"/>
      <c r="AA30" s="6"/>
      <c r="AB30" s="6"/>
      <c r="AC30" s="6"/>
      <c r="AD30" s="6"/>
      <c r="AE30" s="6"/>
      <c r="AF30" s="6"/>
      <c r="AG30" s="6"/>
      <c r="AH30" s="6"/>
      <c r="AI30" s="6"/>
      <c r="AJ30" s="6"/>
    </row>
    <row r="31" spans="2:74" s="2" customFormat="1" hidden="1" x14ac:dyDescent="0.3">
      <c r="D31" s="25" t="s">
        <v>22</v>
      </c>
      <c r="E31" s="11">
        <f>Startkanal+(Bits_pro_Wert-1)*4+FreeBits*32</f>
        <v>128</v>
      </c>
      <c r="F31" s="2" t="str">
        <f>DEC2BIN(E31,8)</f>
        <v>10000000</v>
      </c>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74" s="2" customFormat="1" hidden="1" x14ac:dyDescent="0.3">
      <c r="D32" s="25" t="s">
        <v>23</v>
      </c>
      <c r="E32" s="11">
        <f>(Bits_pro_Wert-1)*4+FreeBits*32</f>
        <v>128</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93" s="2" customFormat="1" hidden="1" x14ac:dyDescent="0.3">
      <c r="D33" s="25" t="s">
        <v>21</v>
      </c>
      <c r="E33" s="11" t="str">
        <f>CalculatePattern(Kanaele,E6,F45:EW299)</f>
        <v>4:,9</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93" s="2" customFormat="1" hidden="1" x14ac:dyDescent="0.3">
      <c r="D34" s="25" t="s">
        <v>20</v>
      </c>
      <c r="E34" s="11" t="str">
        <f>LEFT(Pattern_u_FreeBits,1)</f>
        <v>4</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93" s="2" customFormat="1" hidden="1" x14ac:dyDescent="0.3">
      <c r="D35" s="14" t="s">
        <v>19</v>
      </c>
      <c r="E35" s="11" t="str">
        <f>MID(Pattern_u_FreeBits,3,LEN(Pattern_u_FreeBits))</f>
        <v>,9</v>
      </c>
      <c r="H35" s="11"/>
      <c r="K35" s="11"/>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93" s="2" customFormat="1" hidden="1" x14ac:dyDescent="0.3">
      <c r="D36" s="14" t="s">
        <v>29</v>
      </c>
      <c r="E36" s="11" t="str">
        <f>Calculate_Goto(Kanaele,E12,F42:EW42,F45:EW299)</f>
        <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93" s="2" customFormat="1" hidden="1" x14ac:dyDescent="0.3">
      <c r="D37" s="14" t="s">
        <v>18</v>
      </c>
      <c r="E37" s="11" t="str">
        <f>CONCATENATE(Kanaele,",",Wert_Min,",",WertMax,",",Wert_ausgeschaltet,",",IF(Mode="","PM_NORMAL",Mode),Zeiten,Pattern_Bytes,Goto_Bytes,")")</f>
        <v>2,0,128,0,0,1 sek,9)</v>
      </c>
      <c r="K37" s="10"/>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93" ht="15.6" hidden="1" x14ac:dyDescent="0.3">
      <c r="D38" s="2" t="s">
        <v>24</v>
      </c>
      <c r="E38" s="26" t="str">
        <f>CONCATENATE("#define ",Makro_Name,"(LED,NStru,InCh)    ",Start,"LED,NStru,InCh,",Ende)</f>
        <v>#define Wechselblinker(LED,NStru,InCh)    PatternT1(LED,NStru,InCh,2,0,128,0,0,1 sek,9)</v>
      </c>
      <c r="F38" s="2"/>
      <c r="G38" s="2"/>
      <c r="H38" s="2"/>
      <c r="I38" s="2"/>
      <c r="J38" s="2"/>
      <c r="X38" s="2"/>
      <c r="Y38" s="11"/>
      <c r="Z38" s="2"/>
      <c r="AA38" s="2"/>
      <c r="AB38" s="2"/>
    </row>
    <row r="39" spans="1:193" hidden="1" x14ac:dyDescent="0.3">
      <c r="D39" s="14" t="s">
        <v>13</v>
      </c>
      <c r="E39" s="15">
        <v>11</v>
      </c>
      <c r="G39" s="14" t="s">
        <v>12</v>
      </c>
      <c r="H39" s="15">
        <f>2*(32-COUNTIF(E24:AJ24,""))</f>
        <v>2</v>
      </c>
      <c r="J39" s="14" t="s">
        <v>11</v>
      </c>
      <c r="K39" s="15">
        <f>LEN(Pattern_Bytes)-LEN(SUBSTITUTE(Pattern_Bytes,",",))</f>
        <v>1</v>
      </c>
      <c r="X39" s="2"/>
      <c r="Y39" s="11"/>
      <c r="Z39" s="2"/>
      <c r="AA39" s="2"/>
      <c r="AB39" s="2"/>
      <c r="AC39" s="14"/>
      <c r="AD39" s="15"/>
      <c r="AF39" s="14"/>
      <c r="AG39" s="15"/>
      <c r="AI39" s="14"/>
      <c r="AJ39" s="15"/>
    </row>
    <row r="40" spans="1:193" hidden="1" x14ac:dyDescent="0.3">
      <c r="D40" s="2"/>
      <c r="E40" s="11"/>
      <c r="F40" s="2"/>
      <c r="G40" s="2"/>
      <c r="H40" s="2"/>
      <c r="I40" s="2"/>
      <c r="J40" s="2"/>
      <c r="K40" s="2"/>
      <c r="L40" s="2"/>
      <c r="M40" s="2"/>
      <c r="N40" s="2"/>
      <c r="O40" s="2"/>
      <c r="P40" s="2"/>
      <c r="Q40" s="2"/>
      <c r="R40" s="2"/>
      <c r="S40" s="2"/>
      <c r="T40" s="2"/>
      <c r="U40" s="2"/>
      <c r="V40" s="2"/>
      <c r="W40" s="2"/>
      <c r="X40" s="2"/>
      <c r="Y40" s="11"/>
      <c r="Z40" s="2"/>
      <c r="AA40" s="2"/>
      <c r="AB40" s="2"/>
      <c r="AC40" s="2"/>
      <c r="AD40" s="2"/>
      <c r="AE40" s="2"/>
      <c r="AF40" s="2"/>
      <c r="AG40" s="2"/>
      <c r="AH40" s="2"/>
      <c r="AI40" s="2"/>
      <c r="AJ40" s="2"/>
    </row>
    <row r="41" spans="1:193" ht="12" customHeight="1" x14ac:dyDescent="0.3">
      <c r="D41" s="41"/>
      <c r="E41" s="71">
        <f>E39+TimerBytes+DataBytes</f>
        <v>14</v>
      </c>
      <c r="F41" s="72"/>
      <c r="G41" s="16"/>
      <c r="H41" s="16"/>
      <c r="I41" s="16"/>
      <c r="J41" s="16"/>
      <c r="K41" s="16"/>
      <c r="L41" s="16"/>
      <c r="M41" s="16"/>
      <c r="N41" s="16"/>
      <c r="O41" s="16"/>
      <c r="P41" s="16"/>
      <c r="Q41" s="16"/>
      <c r="R41" s="16"/>
      <c r="S41" s="16"/>
      <c r="T41" s="16"/>
      <c r="U41" s="16"/>
      <c r="V41" s="16"/>
      <c r="W41" s="16"/>
      <c r="X41" s="16"/>
      <c r="Y41" s="17"/>
      <c r="Z41" s="16"/>
      <c r="AA41" s="16"/>
      <c r="AB41" s="16"/>
      <c r="AC41" s="16"/>
      <c r="AD41" s="16"/>
      <c r="AE41" s="16"/>
      <c r="AF41" s="16"/>
      <c r="AG41" s="16"/>
      <c r="AH41" s="16"/>
      <c r="AI41" s="16"/>
      <c r="AJ41" s="16"/>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spans="1:193" s="29" customFormat="1" ht="12" hidden="1" customHeight="1" x14ac:dyDescent="0.3">
      <c r="A42"/>
      <c r="C42" s="50"/>
      <c r="D42" s="50"/>
      <c r="E42" s="47" t="s">
        <v>33</v>
      </c>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row>
    <row r="43" spans="1:193" ht="15" customHeight="1" x14ac:dyDescent="0.3">
      <c r="D43" s="4" t="str">
        <f>IF(COUNTA(F45:AK52)=0,"Bitte Tabelle ausfüllen. Positionen an denen die LEDs leuchten sollen werden mit einem Zeichen (z.B. x) markiert. Bei einer leeren Zellen ist die LED aus.","")</f>
        <v/>
      </c>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row>
    <row r="44" spans="1:193" ht="15" customHeight="1" x14ac:dyDescent="0.3">
      <c r="C44" s="5"/>
      <c r="D44" s="51" t="s">
        <v>76</v>
      </c>
      <c r="E44" s="7" t="s">
        <v>75</v>
      </c>
      <c r="F44" s="8">
        <v>1</v>
      </c>
      <c r="G44" s="8">
        <v>2</v>
      </c>
      <c r="H44" s="8">
        <v>3</v>
      </c>
      <c r="I44" s="8">
        <v>4</v>
      </c>
      <c r="J44" s="8">
        <v>5</v>
      </c>
      <c r="K44" s="8">
        <v>6</v>
      </c>
      <c r="L44" s="8">
        <v>7</v>
      </c>
      <c r="M44" s="8">
        <v>8</v>
      </c>
      <c r="N44" s="8">
        <v>9</v>
      </c>
      <c r="O44" s="8">
        <v>10</v>
      </c>
      <c r="P44" s="8">
        <v>11</v>
      </c>
      <c r="Q44" s="8">
        <v>12</v>
      </c>
      <c r="R44" s="8">
        <v>13</v>
      </c>
      <c r="S44" s="8">
        <v>14</v>
      </c>
      <c r="T44" s="8">
        <v>15</v>
      </c>
      <c r="U44" s="8">
        <v>16</v>
      </c>
      <c r="V44" s="8">
        <v>17</v>
      </c>
      <c r="W44" s="8">
        <v>18</v>
      </c>
      <c r="X44" s="8">
        <v>19</v>
      </c>
      <c r="Y44" s="8">
        <v>20</v>
      </c>
      <c r="Z44" s="8">
        <v>21</v>
      </c>
      <c r="AA44" s="8">
        <v>22</v>
      </c>
      <c r="AB44" s="8">
        <v>23</v>
      </c>
      <c r="AC44" s="8">
        <v>24</v>
      </c>
      <c r="AD44" s="8">
        <v>25</v>
      </c>
      <c r="AE44" s="8">
        <v>26</v>
      </c>
      <c r="AF44" s="8">
        <v>27</v>
      </c>
      <c r="AG44" s="8">
        <v>28</v>
      </c>
      <c r="AH44" s="8">
        <v>29</v>
      </c>
      <c r="AI44" s="8">
        <v>30</v>
      </c>
      <c r="AJ44" s="8">
        <v>31</v>
      </c>
      <c r="AK44" s="8">
        <v>32</v>
      </c>
      <c r="AL44" s="8">
        <v>33</v>
      </c>
      <c r="AM44" s="8">
        <v>34</v>
      </c>
      <c r="AN44" s="8">
        <v>35</v>
      </c>
      <c r="AO44" s="8">
        <v>36</v>
      </c>
      <c r="AP44" s="8">
        <v>37</v>
      </c>
      <c r="AQ44" s="8">
        <v>38</v>
      </c>
      <c r="AR44" s="8">
        <v>39</v>
      </c>
      <c r="AS44" s="8">
        <v>40</v>
      </c>
      <c r="AT44" s="8">
        <v>41</v>
      </c>
      <c r="AU44" s="8">
        <v>42</v>
      </c>
      <c r="AV44" s="8">
        <v>43</v>
      </c>
      <c r="AW44" s="8">
        <v>44</v>
      </c>
      <c r="AX44" s="8">
        <v>45</v>
      </c>
      <c r="AY44" s="8">
        <v>46</v>
      </c>
      <c r="AZ44" s="8">
        <v>47</v>
      </c>
      <c r="BA44" s="8">
        <v>48</v>
      </c>
      <c r="BB44" s="8">
        <v>49</v>
      </c>
      <c r="BC44" s="8">
        <v>50</v>
      </c>
      <c r="BD44" s="8">
        <v>51</v>
      </c>
      <c r="BE44" s="8">
        <v>52</v>
      </c>
      <c r="BF44" s="8">
        <v>53</v>
      </c>
      <c r="BG44" s="8">
        <v>54</v>
      </c>
      <c r="BH44" s="8">
        <v>55</v>
      </c>
      <c r="BI44" s="8">
        <v>56</v>
      </c>
    </row>
    <row r="45" spans="1:193" x14ac:dyDescent="0.3">
      <c r="C45" s="36"/>
      <c r="D45" s="35">
        <v>1</v>
      </c>
      <c r="E45" s="33" t="s">
        <v>27</v>
      </c>
      <c r="F45" s="48" t="s">
        <v>0</v>
      </c>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2"/>
      <c r="GI45" s="22"/>
      <c r="GJ45" s="22"/>
      <c r="GK45" s="22"/>
    </row>
    <row r="46" spans="1:193" x14ac:dyDescent="0.3">
      <c r="C46" s="36"/>
      <c r="D46" s="35">
        <v>2</v>
      </c>
      <c r="E46" s="33" t="s">
        <v>28</v>
      </c>
      <c r="F46" s="48"/>
      <c r="G46" s="48" t="s">
        <v>0</v>
      </c>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row>
    <row r="47" spans="1:193" x14ac:dyDescent="0.3">
      <c r="C47" s="36"/>
      <c r="D47" s="35">
        <v>3</v>
      </c>
      <c r="E47" s="33"/>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row>
    <row r="48" spans="1:193" x14ac:dyDescent="0.3">
      <c r="C48" s="36"/>
      <c r="D48" s="35">
        <v>4</v>
      </c>
      <c r="E48" s="33"/>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row>
    <row r="49" spans="3:193" x14ac:dyDescent="0.3">
      <c r="C49" s="36"/>
      <c r="D49" s="35">
        <v>5</v>
      </c>
      <c r="E49" s="33"/>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c r="FX49" s="22"/>
      <c r="FY49" s="22"/>
      <c r="FZ49" s="22"/>
      <c r="GA49" s="22"/>
      <c r="GB49" s="22"/>
      <c r="GC49" s="22"/>
      <c r="GD49" s="22"/>
      <c r="GE49" s="22"/>
      <c r="GF49" s="22"/>
      <c r="GG49" s="22"/>
      <c r="GH49" s="22"/>
      <c r="GI49" s="22"/>
      <c r="GJ49" s="22"/>
      <c r="GK49" s="22"/>
    </row>
    <row r="50" spans="3:193" x14ac:dyDescent="0.3">
      <c r="C50" s="36"/>
      <c r="D50" s="35">
        <v>6</v>
      </c>
      <c r="E50" s="33"/>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row>
    <row r="51" spans="3:193" x14ac:dyDescent="0.3">
      <c r="C51" s="36"/>
      <c r="D51" s="35">
        <v>7</v>
      </c>
      <c r="E51" s="33"/>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row>
    <row r="52" spans="3:193" x14ac:dyDescent="0.3">
      <c r="C52" s="36"/>
      <c r="D52" s="35">
        <v>8</v>
      </c>
      <c r="E52" s="33"/>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22"/>
      <c r="EY52" s="22"/>
      <c r="EZ52" s="22"/>
      <c r="FA52" s="22"/>
      <c r="FB52" s="22"/>
      <c r="FC52" s="22"/>
      <c r="FD52" s="22"/>
      <c r="FE52" s="22"/>
      <c r="FF52" s="22"/>
      <c r="FG52" s="22"/>
      <c r="FH52" s="22"/>
      <c r="FI52" s="22"/>
      <c r="FJ52" s="22"/>
      <c r="FK52" s="22"/>
      <c r="FL52" s="22"/>
      <c r="FM52" s="22"/>
      <c r="FN52" s="22"/>
      <c r="FO52" s="22"/>
      <c r="FP52" s="22"/>
      <c r="FQ52" s="22"/>
      <c r="FR52" s="22"/>
      <c r="FS52" s="22"/>
      <c r="FT52" s="22"/>
      <c r="FU52" s="22"/>
      <c r="FV52" s="22"/>
      <c r="FW52" s="22"/>
      <c r="FX52" s="22"/>
      <c r="FY52" s="22"/>
      <c r="FZ52" s="22"/>
      <c r="GA52" s="22"/>
      <c r="GB52" s="22"/>
      <c r="GC52" s="22"/>
      <c r="GD52" s="22"/>
      <c r="GE52" s="22"/>
      <c r="GF52" s="22"/>
      <c r="GG52" s="22"/>
      <c r="GH52" s="22"/>
      <c r="GI52" s="22"/>
      <c r="GJ52" s="22"/>
      <c r="GK52" s="22"/>
    </row>
    <row r="53" spans="3:193" x14ac:dyDescent="0.3">
      <c r="C53" s="36"/>
      <c r="D53" s="35">
        <v>9</v>
      </c>
      <c r="E53" s="33"/>
      <c r="F53" s="3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22"/>
      <c r="EY53" s="22"/>
      <c r="EZ53" s="22"/>
      <c r="FA53" s="22"/>
      <c r="FB53" s="22"/>
      <c r="FC53" s="22"/>
      <c r="FD53" s="22"/>
      <c r="FE53" s="22"/>
      <c r="FF53" s="22"/>
      <c r="FG53" s="22"/>
      <c r="FH53" s="22"/>
      <c r="FI53" s="22"/>
      <c r="FJ53" s="22"/>
      <c r="FK53" s="22"/>
      <c r="FL53" s="22"/>
      <c r="FM53" s="22"/>
      <c r="FN53" s="22"/>
      <c r="FO53" s="22"/>
      <c r="FP53" s="22"/>
      <c r="FQ53" s="22"/>
      <c r="FR53" s="22"/>
      <c r="FS53" s="22"/>
      <c r="FT53" s="22"/>
      <c r="FU53" s="22"/>
      <c r="FV53" s="22"/>
      <c r="FW53" s="22"/>
      <c r="FX53" s="22"/>
      <c r="FY53" s="22"/>
      <c r="FZ53" s="22"/>
      <c r="GA53" s="22"/>
      <c r="GB53" s="22"/>
      <c r="GC53" s="22"/>
      <c r="GD53" s="22"/>
      <c r="GE53" s="22"/>
      <c r="GF53" s="22"/>
      <c r="GG53" s="22"/>
      <c r="GH53" s="22"/>
      <c r="GI53" s="22"/>
      <c r="GJ53" s="22"/>
      <c r="GK53" s="22"/>
    </row>
    <row r="54" spans="3:193" x14ac:dyDescent="0.3">
      <c r="C54" s="36"/>
      <c r="D54" s="35">
        <v>10</v>
      </c>
      <c r="E54" s="33"/>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22"/>
      <c r="EY54" s="22"/>
      <c r="EZ54" s="22"/>
      <c r="FA54" s="22"/>
      <c r="FB54" s="22"/>
      <c r="FC54" s="22"/>
      <c r="FD54" s="22"/>
      <c r="FE54" s="22"/>
      <c r="FF54" s="22"/>
      <c r="FG54" s="22"/>
      <c r="FH54" s="22"/>
      <c r="FI54" s="22"/>
      <c r="FJ54" s="22"/>
      <c r="FK54" s="22"/>
      <c r="FL54" s="22"/>
      <c r="FM54" s="22"/>
      <c r="FN54" s="22"/>
      <c r="FO54" s="22"/>
      <c r="FP54" s="22"/>
      <c r="FQ54" s="22"/>
      <c r="FR54" s="22"/>
      <c r="FS54" s="22"/>
      <c r="FT54" s="22"/>
      <c r="FU54" s="22"/>
      <c r="FV54" s="22"/>
      <c r="FW54" s="22"/>
      <c r="FX54" s="22"/>
      <c r="FY54" s="22"/>
      <c r="FZ54" s="22"/>
      <c r="GA54" s="22"/>
      <c r="GB54" s="22"/>
      <c r="GC54" s="22"/>
      <c r="GD54" s="22"/>
      <c r="GE54" s="22"/>
      <c r="GF54" s="22"/>
      <c r="GG54" s="22"/>
      <c r="GH54" s="22"/>
      <c r="GI54" s="22"/>
      <c r="GJ54" s="22"/>
      <c r="GK54" s="22"/>
    </row>
    <row r="55" spans="3:193" x14ac:dyDescent="0.3">
      <c r="C55" s="36"/>
      <c r="D55" s="35">
        <v>11</v>
      </c>
      <c r="E55" s="33"/>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row>
    <row r="56" spans="3:193" x14ac:dyDescent="0.3">
      <c r="C56" s="36"/>
      <c r="D56" s="35">
        <v>12</v>
      </c>
      <c r="E56" s="33"/>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row>
    <row r="57" spans="3:193" x14ac:dyDescent="0.3">
      <c r="C57" s="36"/>
      <c r="D57" s="35">
        <v>13</v>
      </c>
      <c r="E57" s="33"/>
      <c r="F57" s="48"/>
      <c r="G57" s="48"/>
      <c r="H57" s="48"/>
      <c r="I57" s="48"/>
      <c r="J57" s="48"/>
      <c r="K57" s="48"/>
      <c r="L57" s="48"/>
      <c r="M57" s="48"/>
      <c r="N57" s="48"/>
      <c r="O57" s="48"/>
      <c r="P57" s="48"/>
      <c r="Q57" s="48"/>
      <c r="R57" s="48"/>
      <c r="S57" s="48"/>
      <c r="T57" s="48"/>
      <c r="U57" s="48"/>
      <c r="V57" s="48"/>
      <c r="W57" s="48"/>
      <c r="X57" s="48"/>
      <c r="Y57" s="48"/>
      <c r="Z57" s="48"/>
      <c r="AA57" s="34"/>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row>
    <row r="58" spans="3:193" x14ac:dyDescent="0.3">
      <c r="C58" s="36"/>
      <c r="D58" s="35">
        <v>14</v>
      </c>
      <c r="E58" s="33"/>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row>
    <row r="59" spans="3:193" x14ac:dyDescent="0.3">
      <c r="C59" s="36"/>
      <c r="D59" s="35">
        <v>15</v>
      </c>
      <c r="E59" s="33"/>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row>
    <row r="60" spans="3:193" x14ac:dyDescent="0.3">
      <c r="C60" s="36"/>
      <c r="D60" s="35">
        <v>16</v>
      </c>
      <c r="E60" s="33"/>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row>
    <row r="61" spans="3:193" x14ac:dyDescent="0.3">
      <c r="C61" s="36"/>
      <c r="D61" s="35">
        <v>17</v>
      </c>
      <c r="E61" s="33"/>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row>
    <row r="62" spans="3:193" x14ac:dyDescent="0.3">
      <c r="C62" s="36"/>
      <c r="D62" s="35">
        <v>18</v>
      </c>
      <c r="E62" s="33"/>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row>
    <row r="63" spans="3:193" x14ac:dyDescent="0.3">
      <c r="C63" s="36"/>
      <c r="D63" s="35">
        <v>19</v>
      </c>
      <c r="E63" s="33"/>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row>
    <row r="64" spans="3:193" x14ac:dyDescent="0.3">
      <c r="C64" s="36"/>
      <c r="D64" s="35">
        <v>20</v>
      </c>
      <c r="E64" s="33"/>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row>
    <row r="65" spans="3:193" x14ac:dyDescent="0.3">
      <c r="C65" s="36"/>
      <c r="D65" s="35">
        <v>21</v>
      </c>
      <c r="E65" s="33"/>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row>
    <row r="66" spans="3:193" x14ac:dyDescent="0.3">
      <c r="C66" s="36"/>
      <c r="D66" s="35">
        <v>22</v>
      </c>
      <c r="E66" s="33"/>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row>
    <row r="67" spans="3:193" x14ac:dyDescent="0.3">
      <c r="C67" s="36"/>
      <c r="D67" s="35">
        <v>23</v>
      </c>
      <c r="E67" s="33"/>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c r="GJ67" s="22"/>
      <c r="GK67" s="22"/>
    </row>
    <row r="68" spans="3:193" x14ac:dyDescent="0.3">
      <c r="C68" s="36"/>
      <c r="D68" s="35">
        <v>24</v>
      </c>
      <c r="E68" s="33"/>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row>
    <row r="69" spans="3:193" x14ac:dyDescent="0.3">
      <c r="C69" s="36"/>
      <c r="D69" s="35">
        <v>25</v>
      </c>
      <c r="E69" s="33"/>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c r="GJ69" s="22"/>
      <c r="GK69" s="22"/>
    </row>
    <row r="70" spans="3:193" x14ac:dyDescent="0.3">
      <c r="C70" s="36"/>
      <c r="D70" s="35">
        <v>26</v>
      </c>
      <c r="E70" s="33"/>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c r="GJ70" s="22"/>
      <c r="GK70" s="22"/>
    </row>
    <row r="71" spans="3:193" x14ac:dyDescent="0.3">
      <c r="C71" s="36"/>
      <c r="D71" s="35">
        <v>27</v>
      </c>
      <c r="E71" s="33"/>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row>
    <row r="72" spans="3:193" x14ac:dyDescent="0.3">
      <c r="C72" s="36"/>
      <c r="D72" s="35">
        <v>28</v>
      </c>
      <c r="E72" s="33"/>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row>
    <row r="73" spans="3:193" x14ac:dyDescent="0.3">
      <c r="C73" s="36"/>
      <c r="D73" s="35">
        <v>29</v>
      </c>
      <c r="E73" s="33"/>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row>
    <row r="74" spans="3:193" x14ac:dyDescent="0.3">
      <c r="C74" s="36"/>
      <c r="D74" s="35">
        <v>30</v>
      </c>
      <c r="E74" s="33"/>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row>
    <row r="75" spans="3:193" x14ac:dyDescent="0.3">
      <c r="C75" s="36"/>
      <c r="D75" s="35">
        <v>31</v>
      </c>
      <c r="E75" s="33"/>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row>
    <row r="76" spans="3:193" x14ac:dyDescent="0.3">
      <c r="C76" s="36"/>
      <c r="D76" s="35">
        <v>32</v>
      </c>
      <c r="E76" s="33"/>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row>
    <row r="77" spans="3:193" x14ac:dyDescent="0.3">
      <c r="C77" s="36"/>
      <c r="D77" s="35">
        <v>33</v>
      </c>
      <c r="E77" s="33"/>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row>
    <row r="78" spans="3:193" x14ac:dyDescent="0.3">
      <c r="C78" s="36"/>
      <c r="D78" s="35">
        <v>34</v>
      </c>
      <c r="E78" s="33"/>
      <c r="F78" s="48"/>
      <c r="G78" s="48"/>
      <c r="H78" s="48"/>
      <c r="I78" s="48"/>
      <c r="J78" s="48"/>
      <c r="K78" s="49"/>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row>
    <row r="79" spans="3:193" x14ac:dyDescent="0.3">
      <c r="C79" s="36"/>
      <c r="D79" s="35">
        <v>35</v>
      </c>
      <c r="E79" s="33"/>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row>
    <row r="80" spans="3:193" x14ac:dyDescent="0.3">
      <c r="C80" s="36"/>
      <c r="D80" s="35">
        <v>36</v>
      </c>
      <c r="E80" s="33"/>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row>
    <row r="81" spans="3:193" x14ac:dyDescent="0.3">
      <c r="C81" s="36"/>
      <c r="D81" s="35">
        <v>37</v>
      </c>
      <c r="E81" s="33"/>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row>
    <row r="82" spans="3:193" x14ac:dyDescent="0.3">
      <c r="C82" s="36"/>
      <c r="D82" s="35">
        <v>38</v>
      </c>
      <c r="E82" s="33"/>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row>
    <row r="83" spans="3:193" x14ac:dyDescent="0.3">
      <c r="C83" s="36"/>
      <c r="D83" s="35">
        <v>39</v>
      </c>
      <c r="E83" s="33"/>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row>
    <row r="84" spans="3:193" x14ac:dyDescent="0.3">
      <c r="C84" s="36"/>
      <c r="D84" s="35">
        <v>40</v>
      </c>
      <c r="E84" s="33"/>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row>
    <row r="85" spans="3:193" x14ac:dyDescent="0.3">
      <c r="C85" s="37"/>
      <c r="D85" s="35">
        <v>41</v>
      </c>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row>
    <row r="86" spans="3:193" x14ac:dyDescent="0.3">
      <c r="C86" s="37"/>
      <c r="D86" s="35">
        <v>42</v>
      </c>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row>
    <row r="87" spans="3:193" x14ac:dyDescent="0.3">
      <c r="C87" s="37"/>
      <c r="D87" s="35">
        <v>43</v>
      </c>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row>
    <row r="88" spans="3:193" x14ac:dyDescent="0.3">
      <c r="C88" s="37"/>
      <c r="D88" s="35">
        <v>44</v>
      </c>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49"/>
      <c r="DQ88" s="49"/>
      <c r="DR88" s="49"/>
      <c r="DS88" s="49"/>
      <c r="DT88" s="49"/>
      <c r="DU88" s="49"/>
      <c r="DV88" s="49"/>
      <c r="DW88" s="49"/>
      <c r="DX88" s="49"/>
      <c r="DY88" s="49"/>
      <c r="DZ88" s="49"/>
      <c r="EA88" s="49"/>
      <c r="EB88" s="49"/>
      <c r="EC88" s="49"/>
      <c r="ED88" s="49"/>
      <c r="EE88" s="49"/>
      <c r="EF88" s="49"/>
      <c r="EG88" s="49"/>
      <c r="EH88" s="49"/>
      <c r="EI88" s="49"/>
      <c r="EJ88" s="49"/>
      <c r="EK88" s="49"/>
      <c r="EL88" s="49"/>
      <c r="EM88" s="49"/>
      <c r="EN88" s="49"/>
      <c r="EO88" s="49"/>
      <c r="EP88" s="49"/>
      <c r="EQ88" s="49"/>
      <c r="ER88" s="49"/>
      <c r="ES88" s="49"/>
      <c r="ET88" s="49"/>
      <c r="EU88" s="49"/>
      <c r="EV88" s="49"/>
      <c r="EW88" s="49"/>
    </row>
    <row r="89" spans="3:193" x14ac:dyDescent="0.3">
      <c r="C89" s="37"/>
      <c r="D89" s="35">
        <v>45</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49"/>
      <c r="DQ89" s="49"/>
      <c r="DR89" s="49"/>
      <c r="DS89" s="49"/>
      <c r="DT89" s="49"/>
      <c r="DU89" s="49"/>
      <c r="DV89" s="49"/>
      <c r="DW89" s="49"/>
      <c r="DX89" s="49"/>
      <c r="DY89" s="49"/>
      <c r="DZ89" s="49"/>
      <c r="EA89" s="49"/>
      <c r="EB89" s="49"/>
      <c r="EC89" s="49"/>
      <c r="ED89" s="49"/>
      <c r="EE89" s="49"/>
      <c r="EF89" s="49"/>
      <c r="EG89" s="49"/>
      <c r="EH89" s="49"/>
      <c r="EI89" s="49"/>
      <c r="EJ89" s="49"/>
      <c r="EK89" s="49"/>
      <c r="EL89" s="49"/>
      <c r="EM89" s="49"/>
      <c r="EN89" s="49"/>
      <c r="EO89" s="49"/>
      <c r="EP89" s="49"/>
      <c r="EQ89" s="49"/>
      <c r="ER89" s="49"/>
      <c r="ES89" s="49"/>
      <c r="ET89" s="49"/>
      <c r="EU89" s="49"/>
      <c r="EV89" s="49"/>
      <c r="EW89" s="49"/>
    </row>
    <row r="90" spans="3:193" x14ac:dyDescent="0.3">
      <c r="C90" s="37"/>
      <c r="D90" s="35">
        <v>46</v>
      </c>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49"/>
      <c r="DQ90" s="49"/>
      <c r="DR90" s="49"/>
      <c r="DS90" s="49"/>
      <c r="DT90" s="49"/>
      <c r="DU90" s="49"/>
      <c r="DV90" s="49"/>
      <c r="DW90" s="49"/>
      <c r="DX90" s="49"/>
      <c r="DY90" s="49"/>
      <c r="DZ90" s="49"/>
      <c r="EA90" s="49"/>
      <c r="EB90" s="49"/>
      <c r="EC90" s="49"/>
      <c r="ED90" s="49"/>
      <c r="EE90" s="49"/>
      <c r="EF90" s="49"/>
      <c r="EG90" s="49"/>
      <c r="EH90" s="49"/>
      <c r="EI90" s="49"/>
      <c r="EJ90" s="49"/>
      <c r="EK90" s="49"/>
      <c r="EL90" s="49"/>
      <c r="EM90" s="49"/>
      <c r="EN90" s="49"/>
      <c r="EO90" s="49"/>
      <c r="EP90" s="49"/>
      <c r="EQ90" s="49"/>
      <c r="ER90" s="49"/>
      <c r="ES90" s="49"/>
      <c r="ET90" s="49"/>
      <c r="EU90" s="49"/>
      <c r="EV90" s="49"/>
      <c r="EW90" s="49"/>
    </row>
    <row r="91" spans="3:193" x14ac:dyDescent="0.3">
      <c r="C91" s="37"/>
      <c r="D91" s="35">
        <v>47</v>
      </c>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49"/>
      <c r="DQ91" s="49"/>
      <c r="DR91" s="49"/>
      <c r="DS91" s="49"/>
      <c r="DT91" s="49"/>
      <c r="DU91" s="49"/>
      <c r="DV91" s="49"/>
      <c r="DW91" s="49"/>
      <c r="DX91" s="49"/>
      <c r="DY91" s="49"/>
      <c r="DZ91" s="49"/>
      <c r="EA91" s="49"/>
      <c r="EB91" s="49"/>
      <c r="EC91" s="49"/>
      <c r="ED91" s="49"/>
      <c r="EE91" s="49"/>
      <c r="EF91" s="49"/>
      <c r="EG91" s="49"/>
      <c r="EH91" s="49"/>
      <c r="EI91" s="49"/>
      <c r="EJ91" s="49"/>
      <c r="EK91" s="49"/>
      <c r="EL91" s="49"/>
      <c r="EM91" s="49"/>
      <c r="EN91" s="49"/>
      <c r="EO91" s="49"/>
      <c r="EP91" s="49"/>
      <c r="EQ91" s="49"/>
      <c r="ER91" s="49"/>
      <c r="ES91" s="49"/>
      <c r="ET91" s="49"/>
      <c r="EU91" s="49"/>
      <c r="EV91" s="49"/>
      <c r="EW91" s="49"/>
    </row>
    <row r="92" spans="3:193" x14ac:dyDescent="0.3">
      <c r="C92" s="37"/>
      <c r="D92" s="35">
        <v>48</v>
      </c>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49"/>
      <c r="DQ92" s="49"/>
      <c r="DR92" s="49"/>
      <c r="DS92" s="49"/>
      <c r="DT92" s="49"/>
      <c r="DU92" s="49"/>
      <c r="DV92" s="49"/>
      <c r="DW92" s="49"/>
      <c r="DX92" s="49"/>
      <c r="DY92" s="49"/>
      <c r="DZ92" s="49"/>
      <c r="EA92" s="49"/>
      <c r="EB92" s="49"/>
      <c r="EC92" s="49"/>
      <c r="ED92" s="49"/>
      <c r="EE92" s="49"/>
      <c r="EF92" s="49"/>
      <c r="EG92" s="49"/>
      <c r="EH92" s="49"/>
      <c r="EI92" s="49"/>
      <c r="EJ92" s="49"/>
      <c r="EK92" s="49"/>
      <c r="EL92" s="49"/>
      <c r="EM92" s="49"/>
      <c r="EN92" s="49"/>
      <c r="EO92" s="49"/>
      <c r="EP92" s="49"/>
      <c r="EQ92" s="49"/>
      <c r="ER92" s="49"/>
      <c r="ES92" s="49"/>
      <c r="ET92" s="49"/>
      <c r="EU92" s="49"/>
      <c r="EV92" s="49"/>
      <c r="EW92" s="49"/>
    </row>
    <row r="93" spans="3:193" x14ac:dyDescent="0.3">
      <c r="C93" s="37"/>
      <c r="D93" s="35">
        <v>49</v>
      </c>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49"/>
      <c r="DQ93" s="49"/>
      <c r="DR93" s="49"/>
      <c r="DS93" s="49"/>
      <c r="DT93" s="49"/>
      <c r="DU93" s="49"/>
      <c r="DV93" s="49"/>
      <c r="DW93" s="49"/>
      <c r="DX93" s="49"/>
      <c r="DY93" s="49"/>
      <c r="DZ93" s="49"/>
      <c r="EA93" s="49"/>
      <c r="EB93" s="49"/>
      <c r="EC93" s="49"/>
      <c r="ED93" s="49"/>
      <c r="EE93" s="49"/>
      <c r="EF93" s="49"/>
      <c r="EG93" s="49"/>
      <c r="EH93" s="49"/>
      <c r="EI93" s="49"/>
      <c r="EJ93" s="49"/>
      <c r="EK93" s="49"/>
      <c r="EL93" s="49"/>
      <c r="EM93" s="49"/>
      <c r="EN93" s="49"/>
      <c r="EO93" s="49"/>
      <c r="EP93" s="49"/>
      <c r="EQ93" s="49"/>
      <c r="ER93" s="49"/>
      <c r="ES93" s="49"/>
      <c r="ET93" s="49"/>
      <c r="EU93" s="49"/>
      <c r="EV93" s="49"/>
      <c r="EW93" s="49"/>
    </row>
    <row r="94" spans="3:193" x14ac:dyDescent="0.3">
      <c r="C94" s="37"/>
      <c r="D94" s="35">
        <v>50</v>
      </c>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49"/>
      <c r="DQ94" s="49"/>
      <c r="DR94" s="49"/>
      <c r="DS94" s="49"/>
      <c r="DT94" s="49"/>
      <c r="DU94" s="49"/>
      <c r="DV94" s="49"/>
      <c r="DW94" s="49"/>
      <c r="DX94" s="49"/>
      <c r="DY94" s="49"/>
      <c r="DZ94" s="49"/>
      <c r="EA94" s="49"/>
      <c r="EB94" s="49"/>
      <c r="EC94" s="49"/>
      <c r="ED94" s="49"/>
      <c r="EE94" s="49"/>
      <c r="EF94" s="49"/>
      <c r="EG94" s="49"/>
      <c r="EH94" s="49"/>
      <c r="EI94" s="49"/>
      <c r="EJ94" s="49"/>
      <c r="EK94" s="49"/>
      <c r="EL94" s="49"/>
      <c r="EM94" s="49"/>
      <c r="EN94" s="49"/>
      <c r="EO94" s="49"/>
      <c r="EP94" s="49"/>
      <c r="EQ94" s="49"/>
      <c r="ER94" s="49"/>
      <c r="ES94" s="49"/>
      <c r="ET94" s="49"/>
      <c r="EU94" s="49"/>
      <c r="EV94" s="49"/>
      <c r="EW94" s="49"/>
    </row>
    <row r="95" spans="3:193" x14ac:dyDescent="0.3">
      <c r="C95" s="37"/>
      <c r="D95" s="35">
        <v>51</v>
      </c>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49"/>
      <c r="DQ95" s="49"/>
      <c r="DR95" s="49"/>
      <c r="DS95" s="49"/>
      <c r="DT95" s="49"/>
      <c r="DU95" s="49"/>
      <c r="DV95" s="49"/>
      <c r="DW95" s="49"/>
      <c r="DX95" s="49"/>
      <c r="DY95" s="49"/>
      <c r="DZ95" s="49"/>
      <c r="EA95" s="49"/>
      <c r="EB95" s="49"/>
      <c r="EC95" s="49"/>
      <c r="ED95" s="49"/>
      <c r="EE95" s="49"/>
      <c r="EF95" s="49"/>
      <c r="EG95" s="49"/>
      <c r="EH95" s="49"/>
      <c r="EI95" s="49"/>
      <c r="EJ95" s="49"/>
      <c r="EK95" s="49"/>
      <c r="EL95" s="49"/>
      <c r="EM95" s="49"/>
      <c r="EN95" s="49"/>
      <c r="EO95" s="49"/>
      <c r="EP95" s="49"/>
      <c r="EQ95" s="49"/>
      <c r="ER95" s="49"/>
      <c r="ES95" s="49"/>
      <c r="ET95" s="49"/>
      <c r="EU95" s="49"/>
      <c r="EV95" s="49"/>
      <c r="EW95" s="49"/>
    </row>
    <row r="96" spans="3:193" x14ac:dyDescent="0.3">
      <c r="C96" s="37"/>
      <c r="D96" s="35">
        <v>52</v>
      </c>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49"/>
      <c r="DQ96" s="49"/>
      <c r="DR96" s="49"/>
      <c r="DS96" s="49"/>
      <c r="DT96" s="49"/>
      <c r="DU96" s="49"/>
      <c r="DV96" s="49"/>
      <c r="DW96" s="49"/>
      <c r="DX96" s="49"/>
      <c r="DY96" s="49"/>
      <c r="DZ96" s="49"/>
      <c r="EA96" s="49"/>
      <c r="EB96" s="49"/>
      <c r="EC96" s="49"/>
      <c r="ED96" s="49"/>
      <c r="EE96" s="49"/>
      <c r="EF96" s="49"/>
      <c r="EG96" s="49"/>
      <c r="EH96" s="49"/>
      <c r="EI96" s="49"/>
      <c r="EJ96" s="49"/>
      <c r="EK96" s="49"/>
      <c r="EL96" s="49"/>
      <c r="EM96" s="49"/>
      <c r="EN96" s="49"/>
      <c r="EO96" s="49"/>
      <c r="EP96" s="49"/>
      <c r="EQ96" s="49"/>
      <c r="ER96" s="49"/>
      <c r="ES96" s="49"/>
      <c r="ET96" s="49"/>
      <c r="EU96" s="49"/>
      <c r="EV96" s="49"/>
      <c r="EW96" s="49"/>
    </row>
    <row r="97" spans="3:153" x14ac:dyDescent="0.3">
      <c r="C97" s="37"/>
      <c r="D97" s="35">
        <v>53</v>
      </c>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49"/>
      <c r="DQ97" s="49"/>
      <c r="DR97" s="49"/>
      <c r="DS97" s="49"/>
      <c r="DT97" s="49"/>
      <c r="DU97" s="49"/>
      <c r="DV97" s="49"/>
      <c r="DW97" s="49"/>
      <c r="DX97" s="49"/>
      <c r="DY97" s="49"/>
      <c r="DZ97" s="49"/>
      <c r="EA97" s="49"/>
      <c r="EB97" s="49"/>
      <c r="EC97" s="49"/>
      <c r="ED97" s="49"/>
      <c r="EE97" s="49"/>
      <c r="EF97" s="49"/>
      <c r="EG97" s="49"/>
      <c r="EH97" s="49"/>
      <c r="EI97" s="49"/>
      <c r="EJ97" s="49"/>
      <c r="EK97" s="49"/>
      <c r="EL97" s="49"/>
      <c r="EM97" s="49"/>
      <c r="EN97" s="49"/>
      <c r="EO97" s="49"/>
      <c r="EP97" s="49"/>
      <c r="EQ97" s="49"/>
      <c r="ER97" s="49"/>
      <c r="ES97" s="49"/>
      <c r="ET97" s="49"/>
      <c r="EU97" s="49"/>
      <c r="EV97" s="49"/>
      <c r="EW97" s="49"/>
    </row>
    <row r="98" spans="3:153" x14ac:dyDescent="0.3">
      <c r="C98" s="37"/>
      <c r="D98" s="35">
        <v>54</v>
      </c>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49"/>
      <c r="DQ98" s="49"/>
      <c r="DR98" s="49"/>
      <c r="DS98" s="49"/>
      <c r="DT98" s="49"/>
      <c r="DU98" s="49"/>
      <c r="DV98" s="49"/>
      <c r="DW98" s="49"/>
      <c r="DX98" s="49"/>
      <c r="DY98" s="49"/>
      <c r="DZ98" s="49"/>
      <c r="EA98" s="49"/>
      <c r="EB98" s="49"/>
      <c r="EC98" s="49"/>
      <c r="ED98" s="49"/>
      <c r="EE98" s="49"/>
      <c r="EF98" s="49"/>
      <c r="EG98" s="49"/>
      <c r="EH98" s="49"/>
      <c r="EI98" s="49"/>
      <c r="EJ98" s="49"/>
      <c r="EK98" s="49"/>
      <c r="EL98" s="49"/>
      <c r="EM98" s="49"/>
      <c r="EN98" s="49"/>
      <c r="EO98" s="49"/>
      <c r="EP98" s="49"/>
      <c r="EQ98" s="49"/>
      <c r="ER98" s="49"/>
      <c r="ES98" s="49"/>
      <c r="ET98" s="49"/>
      <c r="EU98" s="49"/>
      <c r="EV98" s="49"/>
      <c r="EW98" s="49"/>
    </row>
    <row r="99" spans="3:153" x14ac:dyDescent="0.3">
      <c r="C99" s="37"/>
      <c r="D99" s="35">
        <v>55</v>
      </c>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49"/>
      <c r="DQ99" s="49"/>
      <c r="DR99" s="49"/>
      <c r="DS99" s="49"/>
      <c r="DT99" s="49"/>
      <c r="DU99" s="49"/>
      <c r="DV99" s="49"/>
      <c r="DW99" s="49"/>
      <c r="DX99" s="49"/>
      <c r="DY99" s="49"/>
      <c r="DZ99" s="49"/>
      <c r="EA99" s="49"/>
      <c r="EB99" s="49"/>
      <c r="EC99" s="49"/>
      <c r="ED99" s="49"/>
      <c r="EE99" s="49"/>
      <c r="EF99" s="49"/>
      <c r="EG99" s="49"/>
      <c r="EH99" s="49"/>
      <c r="EI99" s="49"/>
      <c r="EJ99" s="49"/>
      <c r="EK99" s="49"/>
      <c r="EL99" s="49"/>
      <c r="EM99" s="49"/>
      <c r="EN99" s="49"/>
      <c r="EO99" s="49"/>
      <c r="EP99" s="49"/>
      <c r="EQ99" s="49"/>
      <c r="ER99" s="49"/>
      <c r="ES99" s="49"/>
      <c r="ET99" s="49"/>
      <c r="EU99" s="49"/>
      <c r="EV99" s="49"/>
      <c r="EW99" s="49"/>
    </row>
    <row r="100" spans="3:153" x14ac:dyDescent="0.3">
      <c r="C100" s="37"/>
      <c r="D100" s="35">
        <v>56</v>
      </c>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49"/>
      <c r="DQ100" s="49"/>
      <c r="DR100" s="49"/>
      <c r="DS100" s="49"/>
      <c r="DT100" s="49"/>
      <c r="DU100" s="49"/>
      <c r="DV100" s="49"/>
      <c r="DW100" s="49"/>
      <c r="DX100" s="49"/>
      <c r="DY100" s="49"/>
      <c r="DZ100" s="49"/>
      <c r="EA100" s="49"/>
      <c r="EB100" s="49"/>
      <c r="EC100" s="49"/>
      <c r="ED100" s="49"/>
      <c r="EE100" s="49"/>
      <c r="EF100" s="49"/>
      <c r="EG100" s="49"/>
      <c r="EH100" s="49"/>
      <c r="EI100" s="49"/>
      <c r="EJ100" s="49"/>
      <c r="EK100" s="49"/>
      <c r="EL100" s="49"/>
      <c r="EM100" s="49"/>
      <c r="EN100" s="49"/>
      <c r="EO100" s="49"/>
      <c r="EP100" s="49"/>
      <c r="EQ100" s="49"/>
      <c r="ER100" s="49"/>
      <c r="ES100" s="49"/>
      <c r="ET100" s="49"/>
      <c r="EU100" s="49"/>
      <c r="EV100" s="49"/>
      <c r="EW100" s="49"/>
    </row>
    <row r="101" spans="3:153" x14ac:dyDescent="0.3">
      <c r="C101" s="37"/>
      <c r="D101" s="35">
        <v>57</v>
      </c>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49"/>
      <c r="DQ101" s="49"/>
      <c r="DR101" s="49"/>
      <c r="DS101" s="49"/>
      <c r="DT101" s="49"/>
      <c r="DU101" s="49"/>
      <c r="DV101" s="49"/>
      <c r="DW101" s="49"/>
      <c r="DX101" s="49"/>
      <c r="DY101" s="49"/>
      <c r="DZ101" s="49"/>
      <c r="EA101" s="49"/>
      <c r="EB101" s="49"/>
      <c r="EC101" s="49"/>
      <c r="ED101" s="49"/>
      <c r="EE101" s="49"/>
      <c r="EF101" s="49"/>
      <c r="EG101" s="49"/>
      <c r="EH101" s="49"/>
      <c r="EI101" s="49"/>
      <c r="EJ101" s="49"/>
      <c r="EK101" s="49"/>
      <c r="EL101" s="49"/>
      <c r="EM101" s="49"/>
      <c r="EN101" s="49"/>
      <c r="EO101" s="49"/>
      <c r="EP101" s="49"/>
      <c r="EQ101" s="49"/>
      <c r="ER101" s="49"/>
      <c r="ES101" s="49"/>
      <c r="ET101" s="49"/>
      <c r="EU101" s="49"/>
      <c r="EV101" s="49"/>
      <c r="EW101" s="49"/>
    </row>
    <row r="102" spans="3:153" x14ac:dyDescent="0.3">
      <c r="C102" s="37"/>
      <c r="D102" s="35">
        <v>58</v>
      </c>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row>
    <row r="103" spans="3:153" x14ac:dyDescent="0.3">
      <c r="C103" s="37"/>
      <c r="D103" s="35">
        <v>59</v>
      </c>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row>
    <row r="104" spans="3:153" x14ac:dyDescent="0.3">
      <c r="C104" s="37"/>
      <c r="D104" s="35">
        <v>60</v>
      </c>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49"/>
      <c r="DQ104" s="49"/>
      <c r="DR104" s="49"/>
      <c r="DS104" s="49"/>
      <c r="DT104" s="49"/>
      <c r="DU104" s="49"/>
      <c r="DV104" s="49"/>
      <c r="DW104" s="49"/>
      <c r="DX104" s="49"/>
      <c r="DY104" s="49"/>
      <c r="DZ104" s="49"/>
      <c r="EA104" s="49"/>
      <c r="EB104" s="49"/>
      <c r="EC104" s="49"/>
      <c r="ED104" s="49"/>
      <c r="EE104" s="49"/>
      <c r="EF104" s="49"/>
      <c r="EG104" s="49"/>
      <c r="EH104" s="49"/>
      <c r="EI104" s="49"/>
      <c r="EJ104" s="49"/>
      <c r="EK104" s="49"/>
      <c r="EL104" s="49"/>
      <c r="EM104" s="49"/>
      <c r="EN104" s="49"/>
      <c r="EO104" s="49"/>
      <c r="EP104" s="49"/>
      <c r="EQ104" s="49"/>
      <c r="ER104" s="49"/>
      <c r="ES104" s="49"/>
      <c r="ET104" s="49"/>
      <c r="EU104" s="49"/>
      <c r="EV104" s="49"/>
      <c r="EW104" s="49"/>
    </row>
    <row r="105" spans="3:153" x14ac:dyDescent="0.3">
      <c r="C105" s="37"/>
      <c r="D105" s="35">
        <v>61</v>
      </c>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49"/>
      <c r="DQ105" s="49"/>
      <c r="DR105" s="49"/>
      <c r="DS105" s="49"/>
      <c r="DT105" s="49"/>
      <c r="DU105" s="49"/>
      <c r="DV105" s="49"/>
      <c r="DW105" s="49"/>
      <c r="DX105" s="49"/>
      <c r="DY105" s="49"/>
      <c r="DZ105" s="49"/>
      <c r="EA105" s="49"/>
      <c r="EB105" s="49"/>
      <c r="EC105" s="49"/>
      <c r="ED105" s="49"/>
      <c r="EE105" s="49"/>
      <c r="EF105" s="49"/>
      <c r="EG105" s="49"/>
      <c r="EH105" s="49"/>
      <c r="EI105" s="49"/>
      <c r="EJ105" s="49"/>
      <c r="EK105" s="49"/>
      <c r="EL105" s="49"/>
      <c r="EM105" s="49"/>
      <c r="EN105" s="49"/>
      <c r="EO105" s="49"/>
      <c r="EP105" s="49"/>
      <c r="EQ105" s="49"/>
      <c r="ER105" s="49"/>
      <c r="ES105" s="49"/>
      <c r="ET105" s="49"/>
      <c r="EU105" s="49"/>
      <c r="EV105" s="49"/>
      <c r="EW105" s="49"/>
    </row>
    <row r="106" spans="3:153" x14ac:dyDescent="0.3">
      <c r="C106" s="37"/>
      <c r="D106" s="35">
        <v>62</v>
      </c>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49"/>
      <c r="DQ106" s="49"/>
      <c r="DR106" s="49"/>
      <c r="DS106" s="49"/>
      <c r="DT106" s="49"/>
      <c r="DU106" s="49"/>
      <c r="DV106" s="49"/>
      <c r="DW106" s="49"/>
      <c r="DX106" s="49"/>
      <c r="DY106" s="49"/>
      <c r="DZ106" s="49"/>
      <c r="EA106" s="49"/>
      <c r="EB106" s="49"/>
      <c r="EC106" s="49"/>
      <c r="ED106" s="49"/>
      <c r="EE106" s="49"/>
      <c r="EF106" s="49"/>
      <c r="EG106" s="49"/>
      <c r="EH106" s="49"/>
      <c r="EI106" s="49"/>
      <c r="EJ106" s="49"/>
      <c r="EK106" s="49"/>
      <c r="EL106" s="49"/>
      <c r="EM106" s="49"/>
      <c r="EN106" s="49"/>
      <c r="EO106" s="49"/>
      <c r="EP106" s="49"/>
      <c r="EQ106" s="49"/>
      <c r="ER106" s="49"/>
      <c r="ES106" s="49"/>
      <c r="ET106" s="49"/>
      <c r="EU106" s="49"/>
      <c r="EV106" s="49"/>
      <c r="EW106" s="49"/>
    </row>
    <row r="107" spans="3:153" x14ac:dyDescent="0.3">
      <c r="C107" s="37"/>
      <c r="D107" s="35">
        <v>63</v>
      </c>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49"/>
      <c r="DQ107" s="49"/>
      <c r="DR107" s="49"/>
      <c r="DS107" s="49"/>
      <c r="DT107" s="49"/>
      <c r="DU107" s="49"/>
      <c r="DV107" s="49"/>
      <c r="DW107" s="49"/>
      <c r="DX107" s="49"/>
      <c r="DY107" s="49"/>
      <c r="DZ107" s="49"/>
      <c r="EA107" s="49"/>
      <c r="EB107" s="49"/>
      <c r="EC107" s="49"/>
      <c r="ED107" s="49"/>
      <c r="EE107" s="49"/>
      <c r="EF107" s="49"/>
      <c r="EG107" s="49"/>
      <c r="EH107" s="49"/>
      <c r="EI107" s="49"/>
      <c r="EJ107" s="49"/>
      <c r="EK107" s="49"/>
      <c r="EL107" s="49"/>
      <c r="EM107" s="49"/>
      <c r="EN107" s="49"/>
      <c r="EO107" s="49"/>
      <c r="EP107" s="49"/>
      <c r="EQ107" s="49"/>
      <c r="ER107" s="49"/>
      <c r="ES107" s="49"/>
      <c r="ET107" s="49"/>
      <c r="EU107" s="49"/>
      <c r="EV107" s="49"/>
      <c r="EW107" s="49"/>
    </row>
    <row r="108" spans="3:153" x14ac:dyDescent="0.3">
      <c r="C108" s="37"/>
      <c r="D108" s="35">
        <v>64</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49"/>
      <c r="DQ108" s="49"/>
      <c r="DR108" s="49"/>
      <c r="DS108" s="49"/>
      <c r="DT108" s="49"/>
      <c r="DU108" s="49"/>
      <c r="DV108" s="49"/>
      <c r="DW108" s="49"/>
      <c r="DX108" s="49"/>
      <c r="DY108" s="49"/>
      <c r="DZ108" s="49"/>
      <c r="EA108" s="49"/>
      <c r="EB108" s="49"/>
      <c r="EC108" s="49"/>
      <c r="ED108" s="49"/>
      <c r="EE108" s="49"/>
      <c r="EF108" s="49"/>
      <c r="EG108" s="49"/>
      <c r="EH108" s="49"/>
      <c r="EI108" s="49"/>
      <c r="EJ108" s="49"/>
      <c r="EK108" s="49"/>
      <c r="EL108" s="49"/>
      <c r="EM108" s="49"/>
      <c r="EN108" s="49"/>
      <c r="EO108" s="49"/>
      <c r="EP108" s="49"/>
      <c r="EQ108" s="49"/>
      <c r="ER108" s="49"/>
      <c r="ES108" s="49"/>
      <c r="ET108" s="49"/>
      <c r="EU108" s="49"/>
      <c r="EV108" s="49"/>
      <c r="EW108" s="49"/>
    </row>
    <row r="109" spans="3:153" x14ac:dyDescent="0.3">
      <c r="C109" s="37"/>
      <c r="D109" s="35">
        <v>65</v>
      </c>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49"/>
      <c r="DQ109" s="49"/>
      <c r="DR109" s="49"/>
      <c r="DS109" s="49"/>
      <c r="DT109" s="49"/>
      <c r="DU109" s="49"/>
      <c r="DV109" s="49"/>
      <c r="DW109" s="49"/>
      <c r="DX109" s="49"/>
      <c r="DY109" s="49"/>
      <c r="DZ109" s="49"/>
      <c r="EA109" s="49"/>
      <c r="EB109" s="49"/>
      <c r="EC109" s="49"/>
      <c r="ED109" s="49"/>
      <c r="EE109" s="49"/>
      <c r="EF109" s="49"/>
      <c r="EG109" s="49"/>
      <c r="EH109" s="49"/>
      <c r="EI109" s="49"/>
      <c r="EJ109" s="49"/>
      <c r="EK109" s="49"/>
      <c r="EL109" s="49"/>
      <c r="EM109" s="49"/>
      <c r="EN109" s="49"/>
      <c r="EO109" s="49"/>
      <c r="EP109" s="49"/>
      <c r="EQ109" s="49"/>
      <c r="ER109" s="49"/>
      <c r="ES109" s="49"/>
      <c r="ET109" s="49"/>
      <c r="EU109" s="49"/>
      <c r="EV109" s="49"/>
      <c r="EW109" s="49"/>
    </row>
    <row r="110" spans="3:153" x14ac:dyDescent="0.3">
      <c r="C110" s="37"/>
      <c r="D110" s="35">
        <v>66</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49"/>
      <c r="DQ110" s="49"/>
      <c r="DR110" s="49"/>
      <c r="DS110" s="49"/>
      <c r="DT110" s="49"/>
      <c r="DU110" s="49"/>
      <c r="DV110" s="49"/>
      <c r="DW110" s="49"/>
      <c r="DX110" s="49"/>
      <c r="DY110" s="49"/>
      <c r="DZ110" s="49"/>
      <c r="EA110" s="49"/>
      <c r="EB110" s="49"/>
      <c r="EC110" s="49"/>
      <c r="ED110" s="49"/>
      <c r="EE110" s="49"/>
      <c r="EF110" s="49"/>
      <c r="EG110" s="49"/>
      <c r="EH110" s="49"/>
      <c r="EI110" s="49"/>
      <c r="EJ110" s="49"/>
      <c r="EK110" s="49"/>
      <c r="EL110" s="49"/>
      <c r="EM110" s="49"/>
      <c r="EN110" s="49"/>
      <c r="EO110" s="49"/>
      <c r="EP110" s="49"/>
      <c r="EQ110" s="49"/>
      <c r="ER110" s="49"/>
      <c r="ES110" s="49"/>
      <c r="ET110" s="49"/>
      <c r="EU110" s="49"/>
      <c r="EV110" s="49"/>
      <c r="EW110" s="49"/>
    </row>
    <row r="111" spans="3:153" x14ac:dyDescent="0.3">
      <c r="C111" s="37"/>
      <c r="D111" s="35">
        <v>67</v>
      </c>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49"/>
      <c r="DQ111" s="49"/>
      <c r="DR111" s="49"/>
      <c r="DS111" s="49"/>
      <c r="DT111" s="49"/>
      <c r="DU111" s="49"/>
      <c r="DV111" s="49"/>
      <c r="DW111" s="49"/>
      <c r="DX111" s="49"/>
      <c r="DY111" s="49"/>
      <c r="DZ111" s="49"/>
      <c r="EA111" s="49"/>
      <c r="EB111" s="49"/>
      <c r="EC111" s="49"/>
      <c r="ED111" s="49"/>
      <c r="EE111" s="49"/>
      <c r="EF111" s="49"/>
      <c r="EG111" s="49"/>
      <c r="EH111" s="49"/>
      <c r="EI111" s="49"/>
      <c r="EJ111" s="49"/>
      <c r="EK111" s="49"/>
      <c r="EL111" s="49"/>
      <c r="EM111" s="49"/>
      <c r="EN111" s="49"/>
      <c r="EO111" s="49"/>
      <c r="EP111" s="49"/>
      <c r="EQ111" s="49"/>
      <c r="ER111" s="49"/>
      <c r="ES111" s="49"/>
      <c r="ET111" s="49"/>
      <c r="EU111" s="49"/>
      <c r="EV111" s="49"/>
      <c r="EW111" s="49"/>
    </row>
    <row r="112" spans="3:153" x14ac:dyDescent="0.3">
      <c r="C112" s="37"/>
      <c r="D112" s="35">
        <v>68</v>
      </c>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49"/>
      <c r="DQ112" s="49"/>
      <c r="DR112" s="49"/>
      <c r="DS112" s="49"/>
      <c r="DT112" s="49"/>
      <c r="DU112" s="49"/>
      <c r="DV112" s="49"/>
      <c r="DW112" s="49"/>
      <c r="DX112" s="49"/>
      <c r="DY112" s="49"/>
      <c r="DZ112" s="49"/>
      <c r="EA112" s="49"/>
      <c r="EB112" s="49"/>
      <c r="EC112" s="49"/>
      <c r="ED112" s="49"/>
      <c r="EE112" s="49"/>
      <c r="EF112" s="49"/>
      <c r="EG112" s="49"/>
      <c r="EH112" s="49"/>
      <c r="EI112" s="49"/>
      <c r="EJ112" s="49"/>
      <c r="EK112" s="49"/>
      <c r="EL112" s="49"/>
      <c r="EM112" s="49"/>
      <c r="EN112" s="49"/>
      <c r="EO112" s="49"/>
      <c r="EP112" s="49"/>
      <c r="EQ112" s="49"/>
      <c r="ER112" s="49"/>
      <c r="ES112" s="49"/>
      <c r="ET112" s="49"/>
      <c r="EU112" s="49"/>
      <c r="EV112" s="49"/>
      <c r="EW112" s="49"/>
    </row>
    <row r="113" spans="3:153" x14ac:dyDescent="0.3">
      <c r="C113" s="37"/>
      <c r="D113" s="35">
        <v>69</v>
      </c>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49"/>
      <c r="DQ113" s="49"/>
      <c r="DR113" s="49"/>
      <c r="DS113" s="49"/>
      <c r="DT113" s="49"/>
      <c r="DU113" s="49"/>
      <c r="DV113" s="49"/>
      <c r="DW113" s="49"/>
      <c r="DX113" s="49"/>
      <c r="DY113" s="49"/>
      <c r="DZ113" s="49"/>
      <c r="EA113" s="49"/>
      <c r="EB113" s="49"/>
      <c r="EC113" s="49"/>
      <c r="ED113" s="49"/>
      <c r="EE113" s="49"/>
      <c r="EF113" s="49"/>
      <c r="EG113" s="49"/>
      <c r="EH113" s="49"/>
      <c r="EI113" s="49"/>
      <c r="EJ113" s="49"/>
      <c r="EK113" s="49"/>
      <c r="EL113" s="49"/>
      <c r="EM113" s="49"/>
      <c r="EN113" s="49"/>
      <c r="EO113" s="49"/>
      <c r="EP113" s="49"/>
      <c r="EQ113" s="49"/>
      <c r="ER113" s="49"/>
      <c r="ES113" s="49"/>
      <c r="ET113" s="49"/>
      <c r="EU113" s="49"/>
      <c r="EV113" s="49"/>
      <c r="EW113" s="49"/>
    </row>
    <row r="114" spans="3:153" x14ac:dyDescent="0.3">
      <c r="C114" s="37"/>
      <c r="D114" s="35">
        <v>70</v>
      </c>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49"/>
      <c r="DQ114" s="49"/>
      <c r="DR114" s="49"/>
      <c r="DS114" s="49"/>
      <c r="DT114" s="49"/>
      <c r="DU114" s="49"/>
      <c r="DV114" s="49"/>
      <c r="DW114" s="49"/>
      <c r="DX114" s="49"/>
      <c r="DY114" s="49"/>
      <c r="DZ114" s="49"/>
      <c r="EA114" s="49"/>
      <c r="EB114" s="49"/>
      <c r="EC114" s="49"/>
      <c r="ED114" s="49"/>
      <c r="EE114" s="49"/>
      <c r="EF114" s="49"/>
      <c r="EG114" s="49"/>
      <c r="EH114" s="49"/>
      <c r="EI114" s="49"/>
      <c r="EJ114" s="49"/>
      <c r="EK114" s="49"/>
      <c r="EL114" s="49"/>
      <c r="EM114" s="49"/>
      <c r="EN114" s="49"/>
      <c r="EO114" s="49"/>
      <c r="EP114" s="49"/>
      <c r="EQ114" s="49"/>
      <c r="ER114" s="49"/>
      <c r="ES114" s="49"/>
      <c r="ET114" s="49"/>
      <c r="EU114" s="49"/>
      <c r="EV114" s="49"/>
      <c r="EW114" s="49"/>
    </row>
    <row r="115" spans="3:153" x14ac:dyDescent="0.3">
      <c r="C115" s="37"/>
      <c r="D115" s="35">
        <v>71</v>
      </c>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49"/>
      <c r="DQ115" s="49"/>
      <c r="DR115" s="49"/>
      <c r="DS115" s="49"/>
      <c r="DT115" s="49"/>
      <c r="DU115" s="49"/>
      <c r="DV115" s="49"/>
      <c r="DW115" s="49"/>
      <c r="DX115" s="49"/>
      <c r="DY115" s="49"/>
      <c r="DZ115" s="49"/>
      <c r="EA115" s="49"/>
      <c r="EB115" s="49"/>
      <c r="EC115" s="49"/>
      <c r="ED115" s="49"/>
      <c r="EE115" s="49"/>
      <c r="EF115" s="49"/>
      <c r="EG115" s="49"/>
      <c r="EH115" s="49"/>
      <c r="EI115" s="49"/>
      <c r="EJ115" s="49"/>
      <c r="EK115" s="49"/>
      <c r="EL115" s="49"/>
      <c r="EM115" s="49"/>
      <c r="EN115" s="49"/>
      <c r="EO115" s="49"/>
      <c r="EP115" s="49"/>
      <c r="EQ115" s="49"/>
      <c r="ER115" s="49"/>
      <c r="ES115" s="49"/>
      <c r="ET115" s="49"/>
      <c r="EU115" s="49"/>
      <c r="EV115" s="49"/>
      <c r="EW115" s="49"/>
    </row>
    <row r="116" spans="3:153" x14ac:dyDescent="0.3">
      <c r="C116" s="37"/>
      <c r="D116" s="35">
        <v>72</v>
      </c>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49"/>
      <c r="DQ116" s="49"/>
      <c r="DR116" s="49"/>
      <c r="DS116" s="49"/>
      <c r="DT116" s="49"/>
      <c r="DU116" s="49"/>
      <c r="DV116" s="49"/>
      <c r="DW116" s="49"/>
      <c r="DX116" s="49"/>
      <c r="DY116" s="49"/>
      <c r="DZ116" s="49"/>
      <c r="EA116" s="49"/>
      <c r="EB116" s="49"/>
      <c r="EC116" s="49"/>
      <c r="ED116" s="49"/>
      <c r="EE116" s="49"/>
      <c r="EF116" s="49"/>
      <c r="EG116" s="49"/>
      <c r="EH116" s="49"/>
      <c r="EI116" s="49"/>
      <c r="EJ116" s="49"/>
      <c r="EK116" s="49"/>
      <c r="EL116" s="49"/>
      <c r="EM116" s="49"/>
      <c r="EN116" s="49"/>
      <c r="EO116" s="49"/>
      <c r="EP116" s="49"/>
      <c r="EQ116" s="49"/>
      <c r="ER116" s="49"/>
      <c r="ES116" s="49"/>
      <c r="ET116" s="49"/>
      <c r="EU116" s="49"/>
      <c r="EV116" s="49"/>
      <c r="EW116" s="49"/>
    </row>
    <row r="117" spans="3:153" x14ac:dyDescent="0.3">
      <c r="C117" s="37"/>
      <c r="D117" s="35">
        <v>73</v>
      </c>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49"/>
      <c r="DQ117" s="49"/>
      <c r="DR117" s="49"/>
      <c r="DS117" s="49"/>
      <c r="DT117" s="49"/>
      <c r="DU117" s="49"/>
      <c r="DV117" s="49"/>
      <c r="DW117" s="49"/>
      <c r="DX117" s="49"/>
      <c r="DY117" s="49"/>
      <c r="DZ117" s="49"/>
      <c r="EA117" s="49"/>
      <c r="EB117" s="49"/>
      <c r="EC117" s="49"/>
      <c r="ED117" s="49"/>
      <c r="EE117" s="49"/>
      <c r="EF117" s="49"/>
      <c r="EG117" s="49"/>
      <c r="EH117" s="49"/>
      <c r="EI117" s="49"/>
      <c r="EJ117" s="49"/>
      <c r="EK117" s="49"/>
      <c r="EL117" s="49"/>
      <c r="EM117" s="49"/>
      <c r="EN117" s="49"/>
      <c r="EO117" s="49"/>
      <c r="EP117" s="49"/>
      <c r="EQ117" s="49"/>
      <c r="ER117" s="49"/>
      <c r="ES117" s="49"/>
      <c r="ET117" s="49"/>
      <c r="EU117" s="49"/>
      <c r="EV117" s="49"/>
      <c r="EW117" s="49"/>
    </row>
    <row r="118" spans="3:153" x14ac:dyDescent="0.3">
      <c r="C118" s="37"/>
      <c r="D118" s="35">
        <v>74</v>
      </c>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49"/>
      <c r="DQ118" s="49"/>
      <c r="DR118" s="49"/>
      <c r="DS118" s="49"/>
      <c r="DT118" s="49"/>
      <c r="DU118" s="49"/>
      <c r="DV118" s="49"/>
      <c r="DW118" s="49"/>
      <c r="DX118" s="49"/>
      <c r="DY118" s="49"/>
      <c r="DZ118" s="49"/>
      <c r="EA118" s="49"/>
      <c r="EB118" s="49"/>
      <c r="EC118" s="49"/>
      <c r="ED118" s="49"/>
      <c r="EE118" s="49"/>
      <c r="EF118" s="49"/>
      <c r="EG118" s="49"/>
      <c r="EH118" s="49"/>
      <c r="EI118" s="49"/>
      <c r="EJ118" s="49"/>
      <c r="EK118" s="49"/>
      <c r="EL118" s="49"/>
      <c r="EM118" s="49"/>
      <c r="EN118" s="49"/>
      <c r="EO118" s="49"/>
      <c r="EP118" s="49"/>
      <c r="EQ118" s="49"/>
      <c r="ER118" s="49"/>
      <c r="ES118" s="49"/>
      <c r="ET118" s="49"/>
      <c r="EU118" s="49"/>
      <c r="EV118" s="49"/>
      <c r="EW118" s="49"/>
    </row>
    <row r="119" spans="3:153" x14ac:dyDescent="0.3">
      <c r="C119" s="37"/>
      <c r="D119" s="35">
        <v>75</v>
      </c>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49"/>
      <c r="DQ119" s="49"/>
      <c r="DR119" s="49"/>
      <c r="DS119" s="49"/>
      <c r="DT119" s="49"/>
      <c r="DU119" s="49"/>
      <c r="DV119" s="49"/>
      <c r="DW119" s="49"/>
      <c r="DX119" s="49"/>
      <c r="DY119" s="49"/>
      <c r="DZ119" s="49"/>
      <c r="EA119" s="49"/>
      <c r="EB119" s="49"/>
      <c r="EC119" s="49"/>
      <c r="ED119" s="49"/>
      <c r="EE119" s="49"/>
      <c r="EF119" s="49"/>
      <c r="EG119" s="49"/>
      <c r="EH119" s="49"/>
      <c r="EI119" s="49"/>
      <c r="EJ119" s="49"/>
      <c r="EK119" s="49"/>
      <c r="EL119" s="49"/>
      <c r="EM119" s="49"/>
      <c r="EN119" s="49"/>
      <c r="EO119" s="49"/>
      <c r="EP119" s="49"/>
      <c r="EQ119" s="49"/>
      <c r="ER119" s="49"/>
      <c r="ES119" s="49"/>
      <c r="ET119" s="49"/>
      <c r="EU119" s="49"/>
      <c r="EV119" s="49"/>
      <c r="EW119" s="49"/>
    </row>
    <row r="120" spans="3:153" x14ac:dyDescent="0.3">
      <c r="C120" s="37"/>
      <c r="D120" s="35">
        <v>76</v>
      </c>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49"/>
      <c r="DQ120" s="49"/>
      <c r="DR120" s="49"/>
      <c r="DS120" s="49"/>
      <c r="DT120" s="49"/>
      <c r="DU120" s="49"/>
      <c r="DV120" s="49"/>
      <c r="DW120" s="49"/>
      <c r="DX120" s="49"/>
      <c r="DY120" s="49"/>
      <c r="DZ120" s="49"/>
      <c r="EA120" s="49"/>
      <c r="EB120" s="49"/>
      <c r="EC120" s="49"/>
      <c r="ED120" s="49"/>
      <c r="EE120" s="49"/>
      <c r="EF120" s="49"/>
      <c r="EG120" s="49"/>
      <c r="EH120" s="49"/>
      <c r="EI120" s="49"/>
      <c r="EJ120" s="49"/>
      <c r="EK120" s="49"/>
      <c r="EL120" s="49"/>
      <c r="EM120" s="49"/>
      <c r="EN120" s="49"/>
      <c r="EO120" s="49"/>
      <c r="EP120" s="49"/>
      <c r="EQ120" s="49"/>
      <c r="ER120" s="49"/>
      <c r="ES120" s="49"/>
      <c r="ET120" s="49"/>
      <c r="EU120" s="49"/>
      <c r="EV120" s="49"/>
      <c r="EW120" s="49"/>
    </row>
    <row r="121" spans="3:153" x14ac:dyDescent="0.3">
      <c r="C121" s="37"/>
      <c r="D121" s="35">
        <v>77</v>
      </c>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49"/>
      <c r="DQ121" s="49"/>
      <c r="DR121" s="49"/>
      <c r="DS121" s="49"/>
      <c r="DT121" s="49"/>
      <c r="DU121" s="49"/>
      <c r="DV121" s="49"/>
      <c r="DW121" s="49"/>
      <c r="DX121" s="49"/>
      <c r="DY121" s="49"/>
      <c r="DZ121" s="49"/>
      <c r="EA121" s="49"/>
      <c r="EB121" s="49"/>
      <c r="EC121" s="49"/>
      <c r="ED121" s="49"/>
      <c r="EE121" s="49"/>
      <c r="EF121" s="49"/>
      <c r="EG121" s="49"/>
      <c r="EH121" s="49"/>
      <c r="EI121" s="49"/>
      <c r="EJ121" s="49"/>
      <c r="EK121" s="49"/>
      <c r="EL121" s="49"/>
      <c r="EM121" s="49"/>
      <c r="EN121" s="49"/>
      <c r="EO121" s="49"/>
      <c r="EP121" s="49"/>
      <c r="EQ121" s="49"/>
      <c r="ER121" s="49"/>
      <c r="ES121" s="49"/>
      <c r="ET121" s="49"/>
      <c r="EU121" s="49"/>
      <c r="EV121" s="49"/>
      <c r="EW121" s="49"/>
    </row>
    <row r="122" spans="3:153" x14ac:dyDescent="0.3">
      <c r="C122" s="37"/>
      <c r="D122" s="35">
        <v>78</v>
      </c>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49"/>
      <c r="DQ122" s="49"/>
      <c r="DR122" s="49"/>
      <c r="DS122" s="49"/>
      <c r="DT122" s="49"/>
      <c r="DU122" s="49"/>
      <c r="DV122" s="49"/>
      <c r="DW122" s="49"/>
      <c r="DX122" s="49"/>
      <c r="DY122" s="49"/>
      <c r="DZ122" s="49"/>
      <c r="EA122" s="49"/>
      <c r="EB122" s="49"/>
      <c r="EC122" s="49"/>
      <c r="ED122" s="49"/>
      <c r="EE122" s="49"/>
      <c r="EF122" s="49"/>
      <c r="EG122" s="49"/>
      <c r="EH122" s="49"/>
      <c r="EI122" s="49"/>
      <c r="EJ122" s="49"/>
      <c r="EK122" s="49"/>
      <c r="EL122" s="49"/>
      <c r="EM122" s="49"/>
      <c r="EN122" s="49"/>
      <c r="EO122" s="49"/>
      <c r="EP122" s="49"/>
      <c r="EQ122" s="49"/>
      <c r="ER122" s="49"/>
      <c r="ES122" s="49"/>
      <c r="ET122" s="49"/>
      <c r="EU122" s="49"/>
      <c r="EV122" s="49"/>
      <c r="EW122" s="49"/>
    </row>
    <row r="123" spans="3:153" x14ac:dyDescent="0.3">
      <c r="C123" s="37"/>
      <c r="D123" s="35">
        <v>79</v>
      </c>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49"/>
      <c r="DQ123" s="49"/>
      <c r="DR123" s="49"/>
      <c r="DS123" s="49"/>
      <c r="DT123" s="49"/>
      <c r="DU123" s="49"/>
      <c r="DV123" s="49"/>
      <c r="DW123" s="49"/>
      <c r="DX123" s="49"/>
      <c r="DY123" s="49"/>
      <c r="DZ123" s="49"/>
      <c r="EA123" s="49"/>
      <c r="EB123" s="49"/>
      <c r="EC123" s="49"/>
      <c r="ED123" s="49"/>
      <c r="EE123" s="49"/>
      <c r="EF123" s="49"/>
      <c r="EG123" s="49"/>
      <c r="EH123" s="49"/>
      <c r="EI123" s="49"/>
      <c r="EJ123" s="49"/>
      <c r="EK123" s="49"/>
      <c r="EL123" s="49"/>
      <c r="EM123" s="49"/>
      <c r="EN123" s="49"/>
      <c r="EO123" s="49"/>
      <c r="EP123" s="49"/>
      <c r="EQ123" s="49"/>
      <c r="ER123" s="49"/>
      <c r="ES123" s="49"/>
      <c r="ET123" s="49"/>
      <c r="EU123" s="49"/>
      <c r="EV123" s="49"/>
      <c r="EW123" s="49"/>
    </row>
    <row r="124" spans="3:153" x14ac:dyDescent="0.3">
      <c r="C124" s="37"/>
      <c r="D124" s="35">
        <v>80</v>
      </c>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49"/>
      <c r="DQ124" s="49"/>
      <c r="DR124" s="49"/>
      <c r="DS124" s="49"/>
      <c r="DT124" s="49"/>
      <c r="DU124" s="49"/>
      <c r="DV124" s="49"/>
      <c r="DW124" s="49"/>
      <c r="DX124" s="49"/>
      <c r="DY124" s="49"/>
      <c r="DZ124" s="49"/>
      <c r="EA124" s="49"/>
      <c r="EB124" s="49"/>
      <c r="EC124" s="49"/>
      <c r="ED124" s="49"/>
      <c r="EE124" s="49"/>
      <c r="EF124" s="49"/>
      <c r="EG124" s="49"/>
      <c r="EH124" s="49"/>
      <c r="EI124" s="49"/>
      <c r="EJ124" s="49"/>
      <c r="EK124" s="49"/>
      <c r="EL124" s="49"/>
      <c r="EM124" s="49"/>
      <c r="EN124" s="49"/>
      <c r="EO124" s="49"/>
      <c r="EP124" s="49"/>
      <c r="EQ124" s="49"/>
      <c r="ER124" s="49"/>
      <c r="ES124" s="49"/>
      <c r="ET124" s="49"/>
      <c r="EU124" s="49"/>
      <c r="EV124" s="49"/>
      <c r="EW124" s="49"/>
    </row>
    <row r="125" spans="3:153" x14ac:dyDescent="0.3">
      <c r="C125" s="37"/>
      <c r="D125" s="35">
        <v>81</v>
      </c>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49"/>
      <c r="DQ125" s="49"/>
      <c r="DR125" s="49"/>
      <c r="DS125" s="49"/>
      <c r="DT125" s="49"/>
      <c r="DU125" s="49"/>
      <c r="DV125" s="49"/>
      <c r="DW125" s="49"/>
      <c r="DX125" s="49"/>
      <c r="DY125" s="49"/>
      <c r="DZ125" s="49"/>
      <c r="EA125" s="49"/>
      <c r="EB125" s="49"/>
      <c r="EC125" s="49"/>
      <c r="ED125" s="49"/>
      <c r="EE125" s="49"/>
      <c r="EF125" s="49"/>
      <c r="EG125" s="49"/>
      <c r="EH125" s="49"/>
      <c r="EI125" s="49"/>
      <c r="EJ125" s="49"/>
      <c r="EK125" s="49"/>
      <c r="EL125" s="49"/>
      <c r="EM125" s="49"/>
      <c r="EN125" s="49"/>
      <c r="EO125" s="49"/>
      <c r="EP125" s="49"/>
      <c r="EQ125" s="49"/>
      <c r="ER125" s="49"/>
      <c r="ES125" s="49"/>
      <c r="ET125" s="49"/>
      <c r="EU125" s="49"/>
      <c r="EV125" s="49"/>
      <c r="EW125" s="49"/>
    </row>
    <row r="126" spans="3:153" x14ac:dyDescent="0.3">
      <c r="C126" s="37"/>
      <c r="D126" s="35">
        <v>82</v>
      </c>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49"/>
      <c r="DQ126" s="49"/>
      <c r="DR126" s="49"/>
      <c r="DS126" s="49"/>
      <c r="DT126" s="49"/>
      <c r="DU126" s="49"/>
      <c r="DV126" s="49"/>
      <c r="DW126" s="49"/>
      <c r="DX126" s="49"/>
      <c r="DY126" s="49"/>
      <c r="DZ126" s="49"/>
      <c r="EA126" s="49"/>
      <c r="EB126" s="49"/>
      <c r="EC126" s="49"/>
      <c r="ED126" s="49"/>
      <c r="EE126" s="49"/>
      <c r="EF126" s="49"/>
      <c r="EG126" s="49"/>
      <c r="EH126" s="49"/>
      <c r="EI126" s="49"/>
      <c r="EJ126" s="49"/>
      <c r="EK126" s="49"/>
      <c r="EL126" s="49"/>
      <c r="EM126" s="49"/>
      <c r="EN126" s="49"/>
      <c r="EO126" s="49"/>
      <c r="EP126" s="49"/>
      <c r="EQ126" s="49"/>
      <c r="ER126" s="49"/>
      <c r="ES126" s="49"/>
      <c r="ET126" s="49"/>
      <c r="EU126" s="49"/>
      <c r="EV126" s="49"/>
      <c r="EW126" s="49"/>
    </row>
    <row r="127" spans="3:153" x14ac:dyDescent="0.3">
      <c r="C127" s="37"/>
      <c r="D127" s="35">
        <v>83</v>
      </c>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49"/>
      <c r="DQ127" s="49"/>
      <c r="DR127" s="49"/>
      <c r="DS127" s="49"/>
      <c r="DT127" s="49"/>
      <c r="DU127" s="49"/>
      <c r="DV127" s="49"/>
      <c r="DW127" s="49"/>
      <c r="DX127" s="49"/>
      <c r="DY127" s="49"/>
      <c r="DZ127" s="49"/>
      <c r="EA127" s="49"/>
      <c r="EB127" s="49"/>
      <c r="EC127" s="49"/>
      <c r="ED127" s="49"/>
      <c r="EE127" s="49"/>
      <c r="EF127" s="49"/>
      <c r="EG127" s="49"/>
      <c r="EH127" s="49"/>
      <c r="EI127" s="49"/>
      <c r="EJ127" s="49"/>
      <c r="EK127" s="49"/>
      <c r="EL127" s="49"/>
      <c r="EM127" s="49"/>
      <c r="EN127" s="49"/>
      <c r="EO127" s="49"/>
      <c r="EP127" s="49"/>
      <c r="EQ127" s="49"/>
      <c r="ER127" s="49"/>
      <c r="ES127" s="49"/>
      <c r="ET127" s="49"/>
      <c r="EU127" s="49"/>
      <c r="EV127" s="49"/>
      <c r="EW127" s="49"/>
    </row>
    <row r="128" spans="3:153" x14ac:dyDescent="0.3">
      <c r="C128" s="37"/>
      <c r="D128" s="35">
        <v>84</v>
      </c>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row>
    <row r="129" spans="3:153" x14ac:dyDescent="0.3">
      <c r="C129" s="37"/>
      <c r="D129" s="35">
        <v>85</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row>
    <row r="130" spans="3:153" x14ac:dyDescent="0.3">
      <c r="C130" s="37"/>
      <c r="D130" s="35">
        <v>86</v>
      </c>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row>
    <row r="131" spans="3:153" x14ac:dyDescent="0.3">
      <c r="C131" s="37"/>
      <c r="D131" s="35">
        <v>87</v>
      </c>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row>
    <row r="132" spans="3:153" x14ac:dyDescent="0.3">
      <c r="C132" s="37"/>
      <c r="D132" s="35">
        <v>88</v>
      </c>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row>
    <row r="133" spans="3:153" x14ac:dyDescent="0.3">
      <c r="C133" s="37"/>
      <c r="D133" s="35">
        <v>89</v>
      </c>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row>
    <row r="134" spans="3:153" x14ac:dyDescent="0.3">
      <c r="C134" s="37"/>
      <c r="D134" s="35">
        <v>90</v>
      </c>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49"/>
      <c r="DQ134" s="49"/>
      <c r="DR134" s="49"/>
      <c r="DS134" s="49"/>
      <c r="DT134" s="49"/>
      <c r="DU134" s="49"/>
      <c r="DV134" s="49"/>
      <c r="DW134" s="49"/>
      <c r="DX134" s="49"/>
      <c r="DY134" s="49"/>
      <c r="DZ134" s="49"/>
      <c r="EA134" s="49"/>
      <c r="EB134" s="49"/>
      <c r="EC134" s="49"/>
      <c r="ED134" s="49"/>
      <c r="EE134" s="49"/>
      <c r="EF134" s="49"/>
      <c r="EG134" s="49"/>
      <c r="EH134" s="49"/>
      <c r="EI134" s="49"/>
      <c r="EJ134" s="49"/>
      <c r="EK134" s="49"/>
      <c r="EL134" s="49"/>
      <c r="EM134" s="49"/>
      <c r="EN134" s="49"/>
      <c r="EO134" s="49"/>
      <c r="EP134" s="49"/>
      <c r="EQ134" s="49"/>
      <c r="ER134" s="49"/>
      <c r="ES134" s="49"/>
      <c r="ET134" s="49"/>
      <c r="EU134" s="49"/>
      <c r="EV134" s="49"/>
      <c r="EW134" s="49"/>
    </row>
    <row r="135" spans="3:153" x14ac:dyDescent="0.3">
      <c r="C135" s="37"/>
      <c r="D135" s="35">
        <v>91</v>
      </c>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row>
    <row r="136" spans="3:153" x14ac:dyDescent="0.3">
      <c r="C136" s="37"/>
      <c r="D136" s="35">
        <v>92</v>
      </c>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49"/>
      <c r="DQ136" s="49"/>
      <c r="DR136" s="49"/>
      <c r="DS136" s="49"/>
      <c r="DT136" s="49"/>
      <c r="DU136" s="49"/>
      <c r="DV136" s="49"/>
      <c r="DW136" s="49"/>
      <c r="DX136" s="49"/>
      <c r="DY136" s="49"/>
      <c r="DZ136" s="49"/>
      <c r="EA136" s="49"/>
      <c r="EB136" s="49"/>
      <c r="EC136" s="49"/>
      <c r="ED136" s="49"/>
      <c r="EE136" s="49"/>
      <c r="EF136" s="49"/>
      <c r="EG136" s="49"/>
      <c r="EH136" s="49"/>
      <c r="EI136" s="49"/>
      <c r="EJ136" s="49"/>
      <c r="EK136" s="49"/>
      <c r="EL136" s="49"/>
      <c r="EM136" s="49"/>
      <c r="EN136" s="49"/>
      <c r="EO136" s="49"/>
      <c r="EP136" s="49"/>
      <c r="EQ136" s="49"/>
      <c r="ER136" s="49"/>
      <c r="ES136" s="49"/>
      <c r="ET136" s="49"/>
      <c r="EU136" s="49"/>
      <c r="EV136" s="49"/>
      <c r="EW136" s="49"/>
    </row>
    <row r="137" spans="3:153" x14ac:dyDescent="0.3">
      <c r="C137" s="37"/>
      <c r="D137" s="35">
        <v>93</v>
      </c>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row>
    <row r="138" spans="3:153" x14ac:dyDescent="0.3">
      <c r="C138" s="37"/>
      <c r="D138" s="35">
        <v>94</v>
      </c>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49"/>
      <c r="DQ138" s="49"/>
      <c r="DR138" s="49"/>
      <c r="DS138" s="49"/>
      <c r="DT138" s="49"/>
      <c r="DU138" s="49"/>
      <c r="DV138" s="49"/>
      <c r="DW138" s="49"/>
      <c r="DX138" s="49"/>
      <c r="DY138" s="49"/>
      <c r="DZ138" s="49"/>
      <c r="EA138" s="49"/>
      <c r="EB138" s="49"/>
      <c r="EC138" s="49"/>
      <c r="ED138" s="49"/>
      <c r="EE138" s="49"/>
      <c r="EF138" s="49"/>
      <c r="EG138" s="49"/>
      <c r="EH138" s="49"/>
      <c r="EI138" s="49"/>
      <c r="EJ138" s="49"/>
      <c r="EK138" s="49"/>
      <c r="EL138" s="49"/>
      <c r="EM138" s="49"/>
      <c r="EN138" s="49"/>
      <c r="EO138" s="49"/>
      <c r="EP138" s="49"/>
      <c r="EQ138" s="49"/>
      <c r="ER138" s="49"/>
      <c r="ES138" s="49"/>
      <c r="ET138" s="49"/>
      <c r="EU138" s="49"/>
      <c r="EV138" s="49"/>
      <c r="EW138" s="49"/>
    </row>
    <row r="139" spans="3:153" x14ac:dyDescent="0.3">
      <c r="C139" s="37"/>
      <c r="D139" s="35">
        <v>95</v>
      </c>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row>
    <row r="140" spans="3:153" x14ac:dyDescent="0.3">
      <c r="C140" s="37"/>
      <c r="D140" s="35">
        <v>96</v>
      </c>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row>
    <row r="141" spans="3:153" x14ac:dyDescent="0.3">
      <c r="C141" s="37"/>
      <c r="D141" s="35">
        <v>97</v>
      </c>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row>
    <row r="142" spans="3:153" x14ac:dyDescent="0.3">
      <c r="C142" s="37"/>
      <c r="D142" s="35">
        <v>98</v>
      </c>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49"/>
      <c r="DQ142" s="49"/>
      <c r="DR142" s="49"/>
      <c r="DS142" s="49"/>
      <c r="DT142" s="49"/>
      <c r="DU142" s="49"/>
      <c r="DV142" s="49"/>
      <c r="DW142" s="49"/>
      <c r="DX142" s="49"/>
      <c r="DY142" s="49"/>
      <c r="DZ142" s="49"/>
      <c r="EA142" s="49"/>
      <c r="EB142" s="49"/>
      <c r="EC142" s="49"/>
      <c r="ED142" s="49"/>
      <c r="EE142" s="49"/>
      <c r="EF142" s="49"/>
      <c r="EG142" s="49"/>
      <c r="EH142" s="49"/>
      <c r="EI142" s="49"/>
      <c r="EJ142" s="49"/>
      <c r="EK142" s="49"/>
      <c r="EL142" s="49"/>
      <c r="EM142" s="49"/>
      <c r="EN142" s="49"/>
      <c r="EO142" s="49"/>
      <c r="EP142" s="49"/>
      <c r="EQ142" s="49"/>
      <c r="ER142" s="49"/>
      <c r="ES142" s="49"/>
      <c r="ET142" s="49"/>
      <c r="EU142" s="49"/>
      <c r="EV142" s="49"/>
      <c r="EW142" s="49"/>
    </row>
    <row r="143" spans="3:153" x14ac:dyDescent="0.3">
      <c r="C143" s="37"/>
      <c r="D143" s="35">
        <v>99</v>
      </c>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49"/>
      <c r="DQ143" s="49"/>
      <c r="DR143" s="49"/>
      <c r="DS143" s="49"/>
      <c r="DT143" s="49"/>
      <c r="DU143" s="49"/>
      <c r="DV143" s="49"/>
      <c r="DW143" s="49"/>
      <c r="DX143" s="49"/>
      <c r="DY143" s="49"/>
      <c r="DZ143" s="49"/>
      <c r="EA143" s="49"/>
      <c r="EB143" s="49"/>
      <c r="EC143" s="49"/>
      <c r="ED143" s="49"/>
      <c r="EE143" s="49"/>
      <c r="EF143" s="49"/>
      <c r="EG143" s="49"/>
      <c r="EH143" s="49"/>
      <c r="EI143" s="49"/>
      <c r="EJ143" s="49"/>
      <c r="EK143" s="49"/>
      <c r="EL143" s="49"/>
      <c r="EM143" s="49"/>
      <c r="EN143" s="49"/>
      <c r="EO143" s="49"/>
      <c r="EP143" s="49"/>
      <c r="EQ143" s="49"/>
      <c r="ER143" s="49"/>
      <c r="ES143" s="49"/>
      <c r="ET143" s="49"/>
      <c r="EU143" s="49"/>
      <c r="EV143" s="49"/>
      <c r="EW143" s="49"/>
    </row>
    <row r="144" spans="3:153" x14ac:dyDescent="0.3">
      <c r="C144" s="37"/>
      <c r="D144" s="35">
        <v>100</v>
      </c>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49"/>
      <c r="DQ144" s="49"/>
      <c r="DR144" s="49"/>
      <c r="DS144" s="49"/>
      <c r="DT144" s="49"/>
      <c r="DU144" s="49"/>
      <c r="DV144" s="49"/>
      <c r="DW144" s="49"/>
      <c r="DX144" s="49"/>
      <c r="DY144" s="49"/>
      <c r="DZ144" s="49"/>
      <c r="EA144" s="49"/>
      <c r="EB144" s="49"/>
      <c r="EC144" s="49"/>
      <c r="ED144" s="49"/>
      <c r="EE144" s="49"/>
      <c r="EF144" s="49"/>
      <c r="EG144" s="49"/>
      <c r="EH144" s="49"/>
      <c r="EI144" s="49"/>
      <c r="EJ144" s="49"/>
      <c r="EK144" s="49"/>
      <c r="EL144" s="49"/>
      <c r="EM144" s="49"/>
      <c r="EN144" s="49"/>
      <c r="EO144" s="49"/>
      <c r="EP144" s="49"/>
      <c r="EQ144" s="49"/>
      <c r="ER144" s="49"/>
      <c r="ES144" s="49"/>
      <c r="ET144" s="49"/>
      <c r="EU144" s="49"/>
      <c r="EV144" s="49"/>
      <c r="EW144" s="49"/>
    </row>
    <row r="145" spans="3:153" x14ac:dyDescent="0.3">
      <c r="C145" s="37"/>
      <c r="D145" s="37"/>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49"/>
      <c r="DQ145" s="49"/>
      <c r="DR145" s="49"/>
      <c r="DS145" s="49"/>
      <c r="DT145" s="49"/>
      <c r="DU145" s="49"/>
      <c r="DV145" s="49"/>
      <c r="DW145" s="49"/>
      <c r="DX145" s="49"/>
      <c r="DY145" s="49"/>
      <c r="DZ145" s="49"/>
      <c r="EA145" s="49"/>
      <c r="EB145" s="49"/>
      <c r="EC145" s="49"/>
      <c r="ED145" s="49"/>
      <c r="EE145" s="49"/>
      <c r="EF145" s="49"/>
      <c r="EG145" s="49"/>
      <c r="EH145" s="49"/>
      <c r="EI145" s="49"/>
      <c r="EJ145" s="49"/>
      <c r="EK145" s="49"/>
      <c r="EL145" s="49"/>
      <c r="EM145" s="49"/>
      <c r="EN145" s="49"/>
      <c r="EO145" s="49"/>
      <c r="EP145" s="49"/>
      <c r="EQ145" s="49"/>
      <c r="ER145" s="49"/>
      <c r="ES145" s="49"/>
      <c r="ET145" s="49"/>
      <c r="EU145" s="49"/>
      <c r="EV145" s="49"/>
      <c r="EW145" s="49"/>
    </row>
    <row r="146" spans="3:153" x14ac:dyDescent="0.3">
      <c r="C146" s="37"/>
      <c r="D146" s="37"/>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49"/>
      <c r="DQ146" s="49"/>
      <c r="DR146" s="49"/>
      <c r="DS146" s="49"/>
      <c r="DT146" s="49"/>
      <c r="DU146" s="49"/>
      <c r="DV146" s="49"/>
      <c r="DW146" s="49"/>
      <c r="DX146" s="49"/>
      <c r="DY146" s="49"/>
      <c r="DZ146" s="49"/>
      <c r="EA146" s="49"/>
      <c r="EB146" s="49"/>
      <c r="EC146" s="49"/>
      <c r="ED146" s="49"/>
      <c r="EE146" s="49"/>
      <c r="EF146" s="49"/>
      <c r="EG146" s="49"/>
      <c r="EH146" s="49"/>
      <c r="EI146" s="49"/>
      <c r="EJ146" s="49"/>
      <c r="EK146" s="49"/>
      <c r="EL146" s="49"/>
      <c r="EM146" s="49"/>
      <c r="EN146" s="49"/>
      <c r="EO146" s="49"/>
      <c r="EP146" s="49"/>
      <c r="EQ146" s="49"/>
      <c r="ER146" s="49"/>
      <c r="ES146" s="49"/>
      <c r="ET146" s="49"/>
      <c r="EU146" s="49"/>
      <c r="EV146" s="49"/>
      <c r="EW146" s="49"/>
    </row>
    <row r="147" spans="3:153" x14ac:dyDescent="0.3">
      <c r="C147" s="37"/>
      <c r="D147" s="37"/>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row>
    <row r="148" spans="3:153" x14ac:dyDescent="0.3">
      <c r="C148" s="37"/>
      <c r="D148" s="37"/>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row>
    <row r="149" spans="3:153" x14ac:dyDescent="0.3">
      <c r="C149" s="37"/>
      <c r="D149" s="37"/>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row>
    <row r="150" spans="3:153" x14ac:dyDescent="0.3">
      <c r="C150" s="37"/>
      <c r="D150" s="37"/>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row>
    <row r="151" spans="3:153" x14ac:dyDescent="0.3">
      <c r="C151" s="37"/>
      <c r="D151" s="37"/>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row>
    <row r="152" spans="3:153" x14ac:dyDescent="0.3">
      <c r="C152" s="37"/>
      <c r="D152" s="37"/>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row>
    <row r="153" spans="3:153" x14ac:dyDescent="0.3">
      <c r="C153" s="37"/>
      <c r="D153" s="37"/>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row>
    <row r="154" spans="3:153" x14ac:dyDescent="0.3">
      <c r="C154" s="37"/>
      <c r="D154" s="37"/>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row>
    <row r="155" spans="3:153" x14ac:dyDescent="0.3">
      <c r="C155" s="37"/>
      <c r="D155" s="37"/>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row>
    <row r="156" spans="3:153" x14ac:dyDescent="0.3">
      <c r="C156" s="37"/>
      <c r="D156" s="37"/>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row>
    <row r="157" spans="3:153" x14ac:dyDescent="0.3">
      <c r="C157" s="37"/>
      <c r="D157" s="37"/>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row>
    <row r="158" spans="3:153" x14ac:dyDescent="0.3">
      <c r="C158" s="37"/>
      <c r="D158" s="37"/>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row>
    <row r="159" spans="3:153" x14ac:dyDescent="0.3">
      <c r="C159" s="37"/>
      <c r="D159" s="37"/>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row>
    <row r="160" spans="3:153" x14ac:dyDescent="0.3">
      <c r="C160" s="37"/>
      <c r="D160" s="37"/>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row>
    <row r="161" spans="3:153" x14ac:dyDescent="0.3">
      <c r="C161" s="37"/>
      <c r="D161" s="37"/>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row>
    <row r="162" spans="3:153" x14ac:dyDescent="0.3">
      <c r="C162" s="37"/>
      <c r="D162" s="37"/>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row>
    <row r="163" spans="3:153" x14ac:dyDescent="0.3">
      <c r="C163" s="37"/>
      <c r="D163" s="37"/>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row>
    <row r="164" spans="3:153" x14ac:dyDescent="0.3">
      <c r="C164" s="37"/>
      <c r="D164" s="37"/>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row>
    <row r="165" spans="3:153" x14ac:dyDescent="0.3">
      <c r="C165" s="37"/>
      <c r="D165" s="37"/>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row>
    <row r="166" spans="3:153" x14ac:dyDescent="0.3">
      <c r="C166" s="37"/>
      <c r="D166" s="37"/>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row>
    <row r="167" spans="3:153" x14ac:dyDescent="0.3">
      <c r="C167" s="37"/>
      <c r="D167" s="37"/>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row>
    <row r="168" spans="3:153" x14ac:dyDescent="0.3">
      <c r="C168" s="37"/>
      <c r="D168" s="37"/>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row>
    <row r="169" spans="3:153" x14ac:dyDescent="0.3">
      <c r="C169" s="37"/>
      <c r="D169" s="37"/>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row>
    <row r="170" spans="3:153" x14ac:dyDescent="0.3">
      <c r="C170" s="37"/>
      <c r="D170" s="37"/>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row>
    <row r="171" spans="3:153" x14ac:dyDescent="0.3">
      <c r="C171" s="37"/>
      <c r="D171" s="37"/>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row>
    <row r="172" spans="3:153" x14ac:dyDescent="0.3">
      <c r="C172" s="37"/>
      <c r="D172" s="37"/>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row>
    <row r="173" spans="3:153" x14ac:dyDescent="0.3">
      <c r="C173" s="37"/>
      <c r="D173" s="37"/>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row>
    <row r="174" spans="3:153" x14ac:dyDescent="0.3">
      <c r="C174" s="37"/>
      <c r="D174" s="37"/>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row>
    <row r="175" spans="3:153" x14ac:dyDescent="0.3">
      <c r="C175" s="37"/>
      <c r="D175" s="37"/>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row>
    <row r="176" spans="3:153" x14ac:dyDescent="0.3">
      <c r="C176" s="37"/>
      <c r="D176" s="37"/>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row>
    <row r="177" spans="3:153" x14ac:dyDescent="0.3">
      <c r="C177" s="37"/>
      <c r="D177" s="37"/>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row>
    <row r="178" spans="3:153" x14ac:dyDescent="0.3">
      <c r="C178" s="37"/>
      <c r="D178" s="37"/>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row>
    <row r="179" spans="3:153" x14ac:dyDescent="0.3">
      <c r="C179" s="37"/>
      <c r="D179" s="37"/>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row>
    <row r="180" spans="3:153" x14ac:dyDescent="0.3">
      <c r="C180" s="37"/>
      <c r="D180" s="37"/>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row>
    <row r="181" spans="3:153" x14ac:dyDescent="0.3">
      <c r="C181" s="37"/>
      <c r="D181" s="37"/>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row>
    <row r="182" spans="3:153" x14ac:dyDescent="0.3">
      <c r="C182" s="37"/>
      <c r="D182" s="37"/>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row>
    <row r="183" spans="3:153" x14ac:dyDescent="0.3">
      <c r="C183" s="37"/>
      <c r="D183" s="37"/>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row>
    <row r="184" spans="3:153" x14ac:dyDescent="0.3">
      <c r="C184" s="37"/>
      <c r="D184" s="37"/>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row>
    <row r="185" spans="3:153" x14ac:dyDescent="0.3">
      <c r="C185" s="37"/>
      <c r="D185" s="37"/>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row>
    <row r="186" spans="3:153" x14ac:dyDescent="0.3">
      <c r="C186" s="37"/>
      <c r="D186" s="37"/>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row>
    <row r="187" spans="3:153" x14ac:dyDescent="0.3">
      <c r="C187" s="37"/>
      <c r="D187" s="37"/>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row>
    <row r="188" spans="3:153" x14ac:dyDescent="0.3">
      <c r="C188" s="37"/>
      <c r="D188" s="37"/>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row>
    <row r="189" spans="3:153" x14ac:dyDescent="0.3">
      <c r="C189" s="37"/>
      <c r="D189" s="37"/>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row>
    <row r="190" spans="3:153" x14ac:dyDescent="0.3">
      <c r="C190" s="37"/>
      <c r="D190" s="37"/>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row>
    <row r="191" spans="3:153" x14ac:dyDescent="0.3">
      <c r="C191" s="37"/>
      <c r="D191" s="37"/>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row>
    <row r="192" spans="3:153" x14ac:dyDescent="0.3">
      <c r="C192" s="37"/>
      <c r="D192" s="37"/>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row>
    <row r="193" spans="3:153" x14ac:dyDescent="0.3">
      <c r="C193" s="37"/>
      <c r="D193" s="37"/>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row>
    <row r="194" spans="3:153" x14ac:dyDescent="0.3">
      <c r="C194" s="37"/>
      <c r="D194" s="37"/>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row>
    <row r="195" spans="3:153" x14ac:dyDescent="0.3">
      <c r="C195" s="37"/>
      <c r="D195" s="37"/>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row>
    <row r="196" spans="3:153" x14ac:dyDescent="0.3">
      <c r="C196" s="37"/>
      <c r="D196" s="37"/>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row>
    <row r="197" spans="3:153" x14ac:dyDescent="0.3">
      <c r="C197" s="37"/>
      <c r="D197" s="37"/>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row>
    <row r="198" spans="3:153" x14ac:dyDescent="0.3">
      <c r="C198" s="37"/>
      <c r="D198" s="37"/>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49"/>
      <c r="DQ198" s="49"/>
      <c r="DR198" s="49"/>
      <c r="DS198" s="49"/>
      <c r="DT198" s="49"/>
      <c r="DU198" s="49"/>
      <c r="DV198" s="49"/>
      <c r="DW198" s="49"/>
      <c r="DX198" s="49"/>
      <c r="DY198" s="49"/>
      <c r="DZ198" s="49"/>
      <c r="EA198" s="49"/>
      <c r="EB198" s="49"/>
      <c r="EC198" s="49"/>
      <c r="ED198" s="49"/>
      <c r="EE198" s="49"/>
      <c r="EF198" s="49"/>
      <c r="EG198" s="49"/>
      <c r="EH198" s="49"/>
      <c r="EI198" s="49"/>
      <c r="EJ198" s="49"/>
      <c r="EK198" s="49"/>
      <c r="EL198" s="49"/>
      <c r="EM198" s="49"/>
      <c r="EN198" s="49"/>
      <c r="EO198" s="49"/>
      <c r="EP198" s="49"/>
      <c r="EQ198" s="49"/>
      <c r="ER198" s="49"/>
      <c r="ES198" s="49"/>
      <c r="ET198" s="49"/>
      <c r="EU198" s="49"/>
      <c r="EV198" s="49"/>
      <c r="EW198" s="49"/>
    </row>
    <row r="199" spans="3:153" x14ac:dyDescent="0.3">
      <c r="C199" s="37"/>
      <c r="D199" s="37"/>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row>
    <row r="200" spans="3:153" x14ac:dyDescent="0.3">
      <c r="C200" s="37"/>
      <c r="D200" s="37"/>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row>
    <row r="201" spans="3:153" x14ac:dyDescent="0.3">
      <c r="C201" s="37"/>
      <c r="D201" s="37"/>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row>
    <row r="202" spans="3:153" x14ac:dyDescent="0.3">
      <c r="C202" s="37"/>
      <c r="D202" s="37"/>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row>
    <row r="203" spans="3:153" x14ac:dyDescent="0.3">
      <c r="C203" s="37"/>
      <c r="D203" s="37"/>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row>
    <row r="204" spans="3:153" x14ac:dyDescent="0.3">
      <c r="C204" s="37"/>
      <c r="D204" s="37"/>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row>
    <row r="205" spans="3:153" x14ac:dyDescent="0.3">
      <c r="C205" s="37"/>
      <c r="D205" s="37"/>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row>
    <row r="206" spans="3:153" x14ac:dyDescent="0.3">
      <c r="C206" s="37"/>
      <c r="D206" s="37"/>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row>
    <row r="207" spans="3:153" x14ac:dyDescent="0.3">
      <c r="C207" s="37"/>
      <c r="D207" s="37"/>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row>
    <row r="208" spans="3:153" x14ac:dyDescent="0.3">
      <c r="C208" s="37"/>
      <c r="D208" s="37"/>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row>
    <row r="209" spans="3:153" x14ac:dyDescent="0.3">
      <c r="C209" s="37"/>
      <c r="D209" s="37"/>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row>
    <row r="210" spans="3:153" x14ac:dyDescent="0.3">
      <c r="C210" s="37"/>
      <c r="D210" s="37"/>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row>
    <row r="211" spans="3:153" x14ac:dyDescent="0.3">
      <c r="C211" s="37"/>
      <c r="D211" s="37"/>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row>
    <row r="212" spans="3:153" x14ac:dyDescent="0.3">
      <c r="C212" s="37"/>
      <c r="D212" s="37"/>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row>
    <row r="213" spans="3:153" x14ac:dyDescent="0.3">
      <c r="C213" s="37"/>
      <c r="D213" s="37"/>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row>
    <row r="214" spans="3:153" x14ac:dyDescent="0.3">
      <c r="C214" s="37"/>
      <c r="D214" s="37"/>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row>
    <row r="215" spans="3:153" x14ac:dyDescent="0.3">
      <c r="C215" s="37"/>
      <c r="D215" s="37"/>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row>
    <row r="216" spans="3:153" x14ac:dyDescent="0.3">
      <c r="C216" s="37"/>
      <c r="D216" s="37"/>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row>
    <row r="217" spans="3:153" x14ac:dyDescent="0.3">
      <c r="C217" s="37"/>
      <c r="D217" s="37"/>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row>
    <row r="218" spans="3:153" x14ac:dyDescent="0.3">
      <c r="C218" s="37"/>
      <c r="D218" s="3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row>
    <row r="219" spans="3:153" x14ac:dyDescent="0.3">
      <c r="C219" s="37"/>
      <c r="D219" s="3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row>
    <row r="220" spans="3:153" x14ac:dyDescent="0.3">
      <c r="C220" s="37"/>
      <c r="D220" s="3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row>
    <row r="221" spans="3:153" x14ac:dyDescent="0.3">
      <c r="C221" s="37"/>
      <c r="D221" s="37"/>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row>
    <row r="222" spans="3:153" x14ac:dyDescent="0.3">
      <c r="C222" s="37"/>
      <c r="D222" s="37"/>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row>
    <row r="223" spans="3:153" x14ac:dyDescent="0.3">
      <c r="C223" s="37"/>
      <c r="D223" s="37"/>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row>
    <row r="224" spans="3:153" x14ac:dyDescent="0.3">
      <c r="C224" s="37"/>
      <c r="D224" s="37"/>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row>
    <row r="225" spans="3:153" x14ac:dyDescent="0.3">
      <c r="C225" s="37"/>
      <c r="D225" s="37"/>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row>
    <row r="226" spans="3:153" x14ac:dyDescent="0.3">
      <c r="C226" s="37"/>
      <c r="D226" s="37"/>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row>
    <row r="227" spans="3:153" x14ac:dyDescent="0.3">
      <c r="C227" s="37"/>
      <c r="D227" s="37"/>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row>
    <row r="228" spans="3:153" x14ac:dyDescent="0.3">
      <c r="C228" s="37"/>
      <c r="D228" s="37"/>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row>
    <row r="229" spans="3:153" x14ac:dyDescent="0.3">
      <c r="C229" s="37"/>
      <c r="D229" s="37"/>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row>
    <row r="230" spans="3:153" x14ac:dyDescent="0.3">
      <c r="C230" s="37"/>
      <c r="D230" s="37"/>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row>
    <row r="231" spans="3:153" x14ac:dyDescent="0.3">
      <c r="C231" s="37"/>
      <c r="D231" s="37"/>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row>
    <row r="232" spans="3:153" x14ac:dyDescent="0.3">
      <c r="C232" s="37"/>
      <c r="D232" s="37"/>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row>
    <row r="233" spans="3:153" x14ac:dyDescent="0.3">
      <c r="C233" s="37"/>
      <c r="D233" s="37"/>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row>
    <row r="234" spans="3:153" x14ac:dyDescent="0.3">
      <c r="C234" s="37"/>
      <c r="D234" s="37"/>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row>
    <row r="235" spans="3:153" x14ac:dyDescent="0.3">
      <c r="C235" s="37"/>
      <c r="D235" s="37"/>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row>
    <row r="236" spans="3:153" x14ac:dyDescent="0.3">
      <c r="C236" s="37"/>
      <c r="D236" s="37"/>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row>
    <row r="237" spans="3:153" x14ac:dyDescent="0.3">
      <c r="C237" s="37"/>
      <c r="D237" s="37"/>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row>
    <row r="238" spans="3:153" x14ac:dyDescent="0.3">
      <c r="C238" s="37"/>
      <c r="D238" s="37"/>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row>
    <row r="239" spans="3:153" x14ac:dyDescent="0.3">
      <c r="C239" s="37"/>
      <c r="D239" s="37"/>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row>
    <row r="240" spans="3:153" x14ac:dyDescent="0.3">
      <c r="C240" s="37"/>
      <c r="D240" s="37"/>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row>
    <row r="241" spans="3:153" x14ac:dyDescent="0.3">
      <c r="C241" s="37"/>
      <c r="D241" s="37"/>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row>
    <row r="242" spans="3:153" x14ac:dyDescent="0.3">
      <c r="C242" s="37"/>
      <c r="D242" s="37"/>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row>
    <row r="243" spans="3:153" x14ac:dyDescent="0.3">
      <c r="C243" s="37"/>
      <c r="D243" s="37"/>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row>
    <row r="244" spans="3:153" x14ac:dyDescent="0.3">
      <c r="C244" s="37"/>
      <c r="D244" s="37"/>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row>
    <row r="245" spans="3:153" x14ac:dyDescent="0.3">
      <c r="C245" s="37"/>
      <c r="D245" s="37"/>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row>
    <row r="246" spans="3:153" x14ac:dyDescent="0.3">
      <c r="C246" s="37"/>
      <c r="D246" s="37"/>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row>
    <row r="247" spans="3:153" x14ac:dyDescent="0.3">
      <c r="C247" s="37"/>
      <c r="D247" s="37"/>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row>
    <row r="248" spans="3:153" x14ac:dyDescent="0.3">
      <c r="C248" s="37"/>
      <c r="D248" s="37"/>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row>
    <row r="249" spans="3:153" x14ac:dyDescent="0.3">
      <c r="C249" s="37"/>
      <c r="D249" s="37"/>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row>
    <row r="250" spans="3:153" x14ac:dyDescent="0.3">
      <c r="C250" s="37"/>
      <c r="D250" s="37"/>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row>
    <row r="251" spans="3:153" x14ac:dyDescent="0.3">
      <c r="C251" s="37"/>
      <c r="D251" s="37"/>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49"/>
      <c r="DQ251" s="49"/>
      <c r="DR251" s="49"/>
      <c r="DS251" s="49"/>
      <c r="DT251" s="49"/>
      <c r="DU251" s="49"/>
      <c r="DV251" s="49"/>
      <c r="DW251" s="49"/>
      <c r="DX251" s="49"/>
      <c r="DY251" s="49"/>
      <c r="DZ251" s="49"/>
      <c r="EA251" s="49"/>
      <c r="EB251" s="49"/>
      <c r="EC251" s="49"/>
      <c r="ED251" s="49"/>
      <c r="EE251" s="49"/>
      <c r="EF251" s="49"/>
      <c r="EG251" s="49"/>
      <c r="EH251" s="49"/>
      <c r="EI251" s="49"/>
      <c r="EJ251" s="49"/>
      <c r="EK251" s="49"/>
      <c r="EL251" s="49"/>
      <c r="EM251" s="49"/>
      <c r="EN251" s="49"/>
      <c r="EO251" s="49"/>
      <c r="EP251" s="49"/>
      <c r="EQ251" s="49"/>
      <c r="ER251" s="49"/>
      <c r="ES251" s="49"/>
      <c r="ET251" s="49"/>
      <c r="EU251" s="49"/>
      <c r="EV251" s="49"/>
      <c r="EW251" s="49"/>
    </row>
    <row r="252" spans="3:153" x14ac:dyDescent="0.3">
      <c r="C252" s="37"/>
      <c r="D252" s="37"/>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49"/>
      <c r="DQ252" s="49"/>
      <c r="DR252" s="49"/>
      <c r="DS252" s="49"/>
      <c r="DT252" s="49"/>
      <c r="DU252" s="49"/>
      <c r="DV252" s="49"/>
      <c r="DW252" s="49"/>
      <c r="DX252" s="49"/>
      <c r="DY252" s="49"/>
      <c r="DZ252" s="49"/>
      <c r="EA252" s="49"/>
      <c r="EB252" s="49"/>
      <c r="EC252" s="49"/>
      <c r="ED252" s="49"/>
      <c r="EE252" s="49"/>
      <c r="EF252" s="49"/>
      <c r="EG252" s="49"/>
      <c r="EH252" s="49"/>
      <c r="EI252" s="49"/>
      <c r="EJ252" s="49"/>
      <c r="EK252" s="49"/>
      <c r="EL252" s="49"/>
      <c r="EM252" s="49"/>
      <c r="EN252" s="49"/>
      <c r="EO252" s="49"/>
      <c r="EP252" s="49"/>
      <c r="EQ252" s="49"/>
      <c r="ER252" s="49"/>
      <c r="ES252" s="49"/>
      <c r="ET252" s="49"/>
      <c r="EU252" s="49"/>
      <c r="EV252" s="49"/>
      <c r="EW252" s="49"/>
    </row>
    <row r="253" spans="3:153" x14ac:dyDescent="0.3">
      <c r="C253" s="37"/>
      <c r="D253" s="37"/>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49"/>
      <c r="DQ253" s="49"/>
      <c r="DR253" s="49"/>
      <c r="DS253" s="49"/>
      <c r="DT253" s="49"/>
      <c r="DU253" s="49"/>
      <c r="DV253" s="49"/>
      <c r="DW253" s="49"/>
      <c r="DX253" s="49"/>
      <c r="DY253" s="49"/>
      <c r="DZ253" s="49"/>
      <c r="EA253" s="49"/>
      <c r="EB253" s="49"/>
      <c r="EC253" s="49"/>
      <c r="ED253" s="49"/>
      <c r="EE253" s="49"/>
      <c r="EF253" s="49"/>
      <c r="EG253" s="49"/>
      <c r="EH253" s="49"/>
      <c r="EI253" s="49"/>
      <c r="EJ253" s="49"/>
      <c r="EK253" s="49"/>
      <c r="EL253" s="49"/>
      <c r="EM253" s="49"/>
      <c r="EN253" s="49"/>
      <c r="EO253" s="49"/>
      <c r="EP253" s="49"/>
      <c r="EQ253" s="49"/>
      <c r="ER253" s="49"/>
      <c r="ES253" s="49"/>
      <c r="ET253" s="49"/>
      <c r="EU253" s="49"/>
      <c r="EV253" s="49"/>
      <c r="EW253" s="49"/>
    </row>
    <row r="254" spans="3:153" x14ac:dyDescent="0.3">
      <c r="C254" s="37"/>
      <c r="D254" s="37"/>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49"/>
      <c r="DQ254" s="49"/>
      <c r="DR254" s="49"/>
      <c r="DS254" s="49"/>
      <c r="DT254" s="49"/>
      <c r="DU254" s="49"/>
      <c r="DV254" s="49"/>
      <c r="DW254" s="49"/>
      <c r="DX254" s="49"/>
      <c r="DY254" s="49"/>
      <c r="DZ254" s="49"/>
      <c r="EA254" s="49"/>
      <c r="EB254" s="49"/>
      <c r="EC254" s="49"/>
      <c r="ED254" s="49"/>
      <c r="EE254" s="49"/>
      <c r="EF254" s="49"/>
      <c r="EG254" s="49"/>
      <c r="EH254" s="49"/>
      <c r="EI254" s="49"/>
      <c r="EJ254" s="49"/>
      <c r="EK254" s="49"/>
      <c r="EL254" s="49"/>
      <c r="EM254" s="49"/>
      <c r="EN254" s="49"/>
      <c r="EO254" s="49"/>
      <c r="EP254" s="49"/>
      <c r="EQ254" s="49"/>
      <c r="ER254" s="49"/>
      <c r="ES254" s="49"/>
      <c r="ET254" s="49"/>
      <c r="EU254" s="49"/>
      <c r="EV254" s="49"/>
      <c r="EW254" s="49"/>
    </row>
    <row r="255" spans="3:153" x14ac:dyDescent="0.3">
      <c r="C255" s="37"/>
      <c r="D255" s="37"/>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49"/>
      <c r="DQ255" s="49"/>
      <c r="DR255" s="49"/>
      <c r="DS255" s="49"/>
      <c r="DT255" s="49"/>
      <c r="DU255" s="49"/>
      <c r="DV255" s="49"/>
      <c r="DW255" s="49"/>
      <c r="DX255" s="49"/>
      <c r="DY255" s="49"/>
      <c r="DZ255" s="49"/>
      <c r="EA255" s="49"/>
      <c r="EB255" s="49"/>
      <c r="EC255" s="49"/>
      <c r="ED255" s="49"/>
      <c r="EE255" s="49"/>
      <c r="EF255" s="49"/>
      <c r="EG255" s="49"/>
      <c r="EH255" s="49"/>
      <c r="EI255" s="49"/>
      <c r="EJ255" s="49"/>
      <c r="EK255" s="49"/>
      <c r="EL255" s="49"/>
      <c r="EM255" s="49"/>
      <c r="EN255" s="49"/>
      <c r="EO255" s="49"/>
      <c r="EP255" s="49"/>
      <c r="EQ255" s="49"/>
      <c r="ER255" s="49"/>
      <c r="ES255" s="49"/>
      <c r="ET255" s="49"/>
      <c r="EU255" s="49"/>
      <c r="EV255" s="49"/>
      <c r="EW255" s="49"/>
    </row>
    <row r="256" spans="3:153" x14ac:dyDescent="0.3">
      <c r="C256" s="37"/>
      <c r="D256" s="37"/>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49"/>
      <c r="DQ256" s="49"/>
      <c r="DR256" s="49"/>
      <c r="DS256" s="49"/>
      <c r="DT256" s="49"/>
      <c r="DU256" s="49"/>
      <c r="DV256" s="49"/>
      <c r="DW256" s="49"/>
      <c r="DX256" s="49"/>
      <c r="DY256" s="49"/>
      <c r="DZ256" s="49"/>
      <c r="EA256" s="49"/>
      <c r="EB256" s="49"/>
      <c r="EC256" s="49"/>
      <c r="ED256" s="49"/>
      <c r="EE256" s="49"/>
      <c r="EF256" s="49"/>
      <c r="EG256" s="49"/>
      <c r="EH256" s="49"/>
      <c r="EI256" s="49"/>
      <c r="EJ256" s="49"/>
      <c r="EK256" s="49"/>
      <c r="EL256" s="49"/>
      <c r="EM256" s="49"/>
      <c r="EN256" s="49"/>
      <c r="EO256" s="49"/>
      <c r="EP256" s="49"/>
      <c r="EQ256" s="49"/>
      <c r="ER256" s="49"/>
      <c r="ES256" s="49"/>
      <c r="ET256" s="49"/>
      <c r="EU256" s="49"/>
      <c r="EV256" s="49"/>
      <c r="EW256" s="49"/>
    </row>
    <row r="257" spans="3:153" x14ac:dyDescent="0.3">
      <c r="C257" s="37"/>
      <c r="D257" s="37"/>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49"/>
      <c r="DQ257" s="49"/>
      <c r="DR257" s="49"/>
      <c r="DS257" s="49"/>
      <c r="DT257" s="49"/>
      <c r="DU257" s="49"/>
      <c r="DV257" s="49"/>
      <c r="DW257" s="49"/>
      <c r="DX257" s="49"/>
      <c r="DY257" s="49"/>
      <c r="DZ257" s="49"/>
      <c r="EA257" s="49"/>
      <c r="EB257" s="49"/>
      <c r="EC257" s="49"/>
      <c r="ED257" s="49"/>
      <c r="EE257" s="49"/>
      <c r="EF257" s="49"/>
      <c r="EG257" s="49"/>
      <c r="EH257" s="49"/>
      <c r="EI257" s="49"/>
      <c r="EJ257" s="49"/>
      <c r="EK257" s="49"/>
      <c r="EL257" s="49"/>
      <c r="EM257" s="49"/>
      <c r="EN257" s="49"/>
      <c r="EO257" s="49"/>
      <c r="EP257" s="49"/>
      <c r="EQ257" s="49"/>
      <c r="ER257" s="49"/>
      <c r="ES257" s="49"/>
      <c r="ET257" s="49"/>
      <c r="EU257" s="49"/>
      <c r="EV257" s="49"/>
      <c r="EW257" s="49"/>
    </row>
    <row r="258" spans="3:153" x14ac:dyDescent="0.3">
      <c r="C258" s="37"/>
      <c r="D258" s="37"/>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49"/>
      <c r="DQ258" s="49"/>
      <c r="DR258" s="49"/>
      <c r="DS258" s="49"/>
      <c r="DT258" s="49"/>
      <c r="DU258" s="49"/>
      <c r="DV258" s="49"/>
      <c r="DW258" s="49"/>
      <c r="DX258" s="49"/>
      <c r="DY258" s="49"/>
      <c r="DZ258" s="49"/>
      <c r="EA258" s="49"/>
      <c r="EB258" s="49"/>
      <c r="EC258" s="49"/>
      <c r="ED258" s="49"/>
      <c r="EE258" s="49"/>
      <c r="EF258" s="49"/>
      <c r="EG258" s="49"/>
      <c r="EH258" s="49"/>
      <c r="EI258" s="49"/>
      <c r="EJ258" s="49"/>
      <c r="EK258" s="49"/>
      <c r="EL258" s="49"/>
      <c r="EM258" s="49"/>
      <c r="EN258" s="49"/>
      <c r="EO258" s="49"/>
      <c r="EP258" s="49"/>
      <c r="EQ258" s="49"/>
      <c r="ER258" s="49"/>
      <c r="ES258" s="49"/>
      <c r="ET258" s="49"/>
      <c r="EU258" s="49"/>
      <c r="EV258" s="49"/>
      <c r="EW258" s="49"/>
    </row>
    <row r="259" spans="3:153" x14ac:dyDescent="0.3">
      <c r="C259" s="37"/>
      <c r="D259" s="37"/>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49"/>
      <c r="DQ259" s="49"/>
      <c r="DR259" s="49"/>
      <c r="DS259" s="49"/>
      <c r="DT259" s="49"/>
      <c r="DU259" s="49"/>
      <c r="DV259" s="49"/>
      <c r="DW259" s="49"/>
      <c r="DX259" s="49"/>
      <c r="DY259" s="49"/>
      <c r="DZ259" s="49"/>
      <c r="EA259" s="49"/>
      <c r="EB259" s="49"/>
      <c r="EC259" s="49"/>
      <c r="ED259" s="49"/>
      <c r="EE259" s="49"/>
      <c r="EF259" s="49"/>
      <c r="EG259" s="49"/>
      <c r="EH259" s="49"/>
      <c r="EI259" s="49"/>
      <c r="EJ259" s="49"/>
      <c r="EK259" s="49"/>
      <c r="EL259" s="49"/>
      <c r="EM259" s="49"/>
      <c r="EN259" s="49"/>
      <c r="EO259" s="49"/>
      <c r="EP259" s="49"/>
      <c r="EQ259" s="49"/>
      <c r="ER259" s="49"/>
      <c r="ES259" s="49"/>
      <c r="ET259" s="49"/>
      <c r="EU259" s="49"/>
      <c r="EV259" s="49"/>
      <c r="EW259" s="49"/>
    </row>
    <row r="260" spans="3:153" x14ac:dyDescent="0.3">
      <c r="C260" s="37"/>
      <c r="D260" s="37"/>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49"/>
      <c r="DQ260" s="49"/>
      <c r="DR260" s="49"/>
      <c r="DS260" s="49"/>
      <c r="DT260" s="49"/>
      <c r="DU260" s="49"/>
      <c r="DV260" s="49"/>
      <c r="DW260" s="49"/>
      <c r="DX260" s="49"/>
      <c r="DY260" s="49"/>
      <c r="DZ260" s="49"/>
      <c r="EA260" s="49"/>
      <c r="EB260" s="49"/>
      <c r="EC260" s="49"/>
      <c r="ED260" s="49"/>
      <c r="EE260" s="49"/>
      <c r="EF260" s="49"/>
      <c r="EG260" s="49"/>
      <c r="EH260" s="49"/>
      <c r="EI260" s="49"/>
      <c r="EJ260" s="49"/>
      <c r="EK260" s="49"/>
      <c r="EL260" s="49"/>
      <c r="EM260" s="49"/>
      <c r="EN260" s="49"/>
      <c r="EO260" s="49"/>
      <c r="EP260" s="49"/>
      <c r="EQ260" s="49"/>
      <c r="ER260" s="49"/>
      <c r="ES260" s="49"/>
      <c r="ET260" s="49"/>
      <c r="EU260" s="49"/>
      <c r="EV260" s="49"/>
      <c r="EW260" s="49"/>
    </row>
    <row r="261" spans="3:153" x14ac:dyDescent="0.3">
      <c r="C261" s="37"/>
      <c r="D261" s="37"/>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49"/>
      <c r="DQ261" s="49"/>
      <c r="DR261" s="49"/>
      <c r="DS261" s="49"/>
      <c r="DT261" s="49"/>
      <c r="DU261" s="49"/>
      <c r="DV261" s="49"/>
      <c r="DW261" s="49"/>
      <c r="DX261" s="49"/>
      <c r="DY261" s="49"/>
      <c r="DZ261" s="49"/>
      <c r="EA261" s="49"/>
      <c r="EB261" s="49"/>
      <c r="EC261" s="49"/>
      <c r="ED261" s="49"/>
      <c r="EE261" s="49"/>
      <c r="EF261" s="49"/>
      <c r="EG261" s="49"/>
      <c r="EH261" s="49"/>
      <c r="EI261" s="49"/>
      <c r="EJ261" s="49"/>
      <c r="EK261" s="49"/>
      <c r="EL261" s="49"/>
      <c r="EM261" s="49"/>
      <c r="EN261" s="49"/>
      <c r="EO261" s="49"/>
      <c r="EP261" s="49"/>
      <c r="EQ261" s="49"/>
      <c r="ER261" s="49"/>
      <c r="ES261" s="49"/>
      <c r="ET261" s="49"/>
      <c r="EU261" s="49"/>
      <c r="EV261" s="49"/>
      <c r="EW261" s="49"/>
    </row>
    <row r="262" spans="3:153" x14ac:dyDescent="0.3">
      <c r="C262" s="37"/>
      <c r="D262" s="37"/>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49"/>
      <c r="DQ262" s="49"/>
      <c r="DR262" s="49"/>
      <c r="DS262" s="49"/>
      <c r="DT262" s="49"/>
      <c r="DU262" s="49"/>
      <c r="DV262" s="49"/>
      <c r="DW262" s="49"/>
      <c r="DX262" s="49"/>
      <c r="DY262" s="49"/>
      <c r="DZ262" s="49"/>
      <c r="EA262" s="49"/>
      <c r="EB262" s="49"/>
      <c r="EC262" s="49"/>
      <c r="ED262" s="49"/>
      <c r="EE262" s="49"/>
      <c r="EF262" s="49"/>
      <c r="EG262" s="49"/>
      <c r="EH262" s="49"/>
      <c r="EI262" s="49"/>
      <c r="EJ262" s="49"/>
      <c r="EK262" s="49"/>
      <c r="EL262" s="49"/>
      <c r="EM262" s="49"/>
      <c r="EN262" s="49"/>
      <c r="EO262" s="49"/>
      <c r="EP262" s="49"/>
      <c r="EQ262" s="49"/>
      <c r="ER262" s="49"/>
      <c r="ES262" s="49"/>
      <c r="ET262" s="49"/>
      <c r="EU262" s="49"/>
      <c r="EV262" s="49"/>
      <c r="EW262" s="49"/>
    </row>
    <row r="263" spans="3:153" x14ac:dyDescent="0.3">
      <c r="C263" s="37"/>
      <c r="D263" s="37"/>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49"/>
      <c r="DQ263" s="49"/>
      <c r="DR263" s="49"/>
      <c r="DS263" s="49"/>
      <c r="DT263" s="49"/>
      <c r="DU263" s="49"/>
      <c r="DV263" s="49"/>
      <c r="DW263" s="49"/>
      <c r="DX263" s="49"/>
      <c r="DY263" s="49"/>
      <c r="DZ263" s="49"/>
      <c r="EA263" s="49"/>
      <c r="EB263" s="49"/>
      <c r="EC263" s="49"/>
      <c r="ED263" s="49"/>
      <c r="EE263" s="49"/>
      <c r="EF263" s="49"/>
      <c r="EG263" s="49"/>
      <c r="EH263" s="49"/>
      <c r="EI263" s="49"/>
      <c r="EJ263" s="49"/>
      <c r="EK263" s="49"/>
      <c r="EL263" s="49"/>
      <c r="EM263" s="49"/>
      <c r="EN263" s="49"/>
      <c r="EO263" s="49"/>
      <c r="EP263" s="49"/>
      <c r="EQ263" s="49"/>
      <c r="ER263" s="49"/>
      <c r="ES263" s="49"/>
      <c r="ET263" s="49"/>
      <c r="EU263" s="49"/>
      <c r="EV263" s="49"/>
      <c r="EW263" s="49"/>
    </row>
    <row r="264" spans="3:153" x14ac:dyDescent="0.3">
      <c r="C264" s="37"/>
      <c r="D264" s="37"/>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49"/>
      <c r="DQ264" s="49"/>
      <c r="DR264" s="49"/>
      <c r="DS264" s="49"/>
      <c r="DT264" s="49"/>
      <c r="DU264" s="49"/>
      <c r="DV264" s="49"/>
      <c r="DW264" s="49"/>
      <c r="DX264" s="49"/>
      <c r="DY264" s="49"/>
      <c r="DZ264" s="49"/>
      <c r="EA264" s="49"/>
      <c r="EB264" s="49"/>
      <c r="EC264" s="49"/>
      <c r="ED264" s="49"/>
      <c r="EE264" s="49"/>
      <c r="EF264" s="49"/>
      <c r="EG264" s="49"/>
      <c r="EH264" s="49"/>
      <c r="EI264" s="49"/>
      <c r="EJ264" s="49"/>
      <c r="EK264" s="49"/>
      <c r="EL264" s="49"/>
      <c r="EM264" s="49"/>
      <c r="EN264" s="49"/>
      <c r="EO264" s="49"/>
      <c r="EP264" s="49"/>
      <c r="EQ264" s="49"/>
      <c r="ER264" s="49"/>
      <c r="ES264" s="49"/>
      <c r="ET264" s="49"/>
      <c r="EU264" s="49"/>
      <c r="EV264" s="49"/>
      <c r="EW264" s="49"/>
    </row>
    <row r="265" spans="3:153" x14ac:dyDescent="0.3">
      <c r="C265" s="37"/>
      <c r="D265" s="37"/>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49"/>
      <c r="DQ265" s="49"/>
      <c r="DR265" s="49"/>
      <c r="DS265" s="49"/>
      <c r="DT265" s="49"/>
      <c r="DU265" s="49"/>
      <c r="DV265" s="49"/>
      <c r="DW265" s="49"/>
      <c r="DX265" s="49"/>
      <c r="DY265" s="49"/>
      <c r="DZ265" s="49"/>
      <c r="EA265" s="49"/>
      <c r="EB265" s="49"/>
      <c r="EC265" s="49"/>
      <c r="ED265" s="49"/>
      <c r="EE265" s="49"/>
      <c r="EF265" s="49"/>
      <c r="EG265" s="49"/>
      <c r="EH265" s="49"/>
      <c r="EI265" s="49"/>
      <c r="EJ265" s="49"/>
      <c r="EK265" s="49"/>
      <c r="EL265" s="49"/>
      <c r="EM265" s="49"/>
      <c r="EN265" s="49"/>
      <c r="EO265" s="49"/>
      <c r="EP265" s="49"/>
      <c r="EQ265" s="49"/>
      <c r="ER265" s="49"/>
      <c r="ES265" s="49"/>
      <c r="ET265" s="49"/>
      <c r="EU265" s="49"/>
      <c r="EV265" s="49"/>
      <c r="EW265" s="49"/>
    </row>
    <row r="266" spans="3:153" x14ac:dyDescent="0.3">
      <c r="C266" s="37"/>
      <c r="D266" s="37"/>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49"/>
      <c r="DQ266" s="49"/>
      <c r="DR266" s="49"/>
      <c r="DS266" s="49"/>
      <c r="DT266" s="49"/>
      <c r="DU266" s="49"/>
      <c r="DV266" s="49"/>
      <c r="DW266" s="49"/>
      <c r="DX266" s="49"/>
      <c r="DY266" s="49"/>
      <c r="DZ266" s="49"/>
      <c r="EA266" s="49"/>
      <c r="EB266" s="49"/>
      <c r="EC266" s="49"/>
      <c r="ED266" s="49"/>
      <c r="EE266" s="49"/>
      <c r="EF266" s="49"/>
      <c r="EG266" s="49"/>
      <c r="EH266" s="49"/>
      <c r="EI266" s="49"/>
      <c r="EJ266" s="49"/>
      <c r="EK266" s="49"/>
      <c r="EL266" s="49"/>
      <c r="EM266" s="49"/>
      <c r="EN266" s="49"/>
      <c r="EO266" s="49"/>
      <c r="EP266" s="49"/>
      <c r="EQ266" s="49"/>
      <c r="ER266" s="49"/>
      <c r="ES266" s="49"/>
      <c r="ET266" s="49"/>
      <c r="EU266" s="49"/>
      <c r="EV266" s="49"/>
      <c r="EW266" s="49"/>
    </row>
    <row r="267" spans="3:153" x14ac:dyDescent="0.3">
      <c r="C267" s="37"/>
      <c r="D267" s="37"/>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49"/>
      <c r="DQ267" s="49"/>
      <c r="DR267" s="49"/>
      <c r="DS267" s="49"/>
      <c r="DT267" s="49"/>
      <c r="DU267" s="49"/>
      <c r="DV267" s="49"/>
      <c r="DW267" s="49"/>
      <c r="DX267" s="49"/>
      <c r="DY267" s="49"/>
      <c r="DZ267" s="49"/>
      <c r="EA267" s="49"/>
      <c r="EB267" s="49"/>
      <c r="EC267" s="49"/>
      <c r="ED267" s="49"/>
      <c r="EE267" s="49"/>
      <c r="EF267" s="49"/>
      <c r="EG267" s="49"/>
      <c r="EH267" s="49"/>
      <c r="EI267" s="49"/>
      <c r="EJ267" s="49"/>
      <c r="EK267" s="49"/>
      <c r="EL267" s="49"/>
      <c r="EM267" s="49"/>
      <c r="EN267" s="49"/>
      <c r="EO267" s="49"/>
      <c r="EP267" s="49"/>
      <c r="EQ267" s="49"/>
      <c r="ER267" s="49"/>
      <c r="ES267" s="49"/>
      <c r="ET267" s="49"/>
      <c r="EU267" s="49"/>
      <c r="EV267" s="49"/>
      <c r="EW267" s="49"/>
    </row>
    <row r="268" spans="3:153" x14ac:dyDescent="0.3">
      <c r="C268" s="37"/>
      <c r="D268" s="37"/>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49"/>
      <c r="DQ268" s="49"/>
      <c r="DR268" s="49"/>
      <c r="DS268" s="49"/>
      <c r="DT268" s="49"/>
      <c r="DU268" s="49"/>
      <c r="DV268" s="49"/>
      <c r="DW268" s="49"/>
      <c r="DX268" s="49"/>
      <c r="DY268" s="49"/>
      <c r="DZ268" s="49"/>
      <c r="EA268" s="49"/>
      <c r="EB268" s="49"/>
      <c r="EC268" s="49"/>
      <c r="ED268" s="49"/>
      <c r="EE268" s="49"/>
      <c r="EF268" s="49"/>
      <c r="EG268" s="49"/>
      <c r="EH268" s="49"/>
      <c r="EI268" s="49"/>
      <c r="EJ268" s="49"/>
      <c r="EK268" s="49"/>
      <c r="EL268" s="49"/>
      <c r="EM268" s="49"/>
      <c r="EN268" s="49"/>
      <c r="EO268" s="49"/>
      <c r="EP268" s="49"/>
      <c r="EQ268" s="49"/>
      <c r="ER268" s="49"/>
      <c r="ES268" s="49"/>
      <c r="ET268" s="49"/>
      <c r="EU268" s="49"/>
      <c r="EV268" s="49"/>
      <c r="EW268" s="49"/>
    </row>
    <row r="269" spans="3:153" x14ac:dyDescent="0.3">
      <c r="C269" s="37"/>
      <c r="D269" s="37"/>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49"/>
      <c r="DQ269" s="49"/>
      <c r="DR269" s="49"/>
      <c r="DS269" s="49"/>
      <c r="DT269" s="49"/>
      <c r="DU269" s="49"/>
      <c r="DV269" s="49"/>
      <c r="DW269" s="49"/>
      <c r="DX269" s="49"/>
      <c r="DY269" s="49"/>
      <c r="DZ269" s="49"/>
      <c r="EA269" s="49"/>
      <c r="EB269" s="49"/>
      <c r="EC269" s="49"/>
      <c r="ED269" s="49"/>
      <c r="EE269" s="49"/>
      <c r="EF269" s="49"/>
      <c r="EG269" s="49"/>
      <c r="EH269" s="49"/>
      <c r="EI269" s="49"/>
      <c r="EJ269" s="49"/>
      <c r="EK269" s="49"/>
      <c r="EL269" s="49"/>
      <c r="EM269" s="49"/>
      <c r="EN269" s="49"/>
      <c r="EO269" s="49"/>
      <c r="EP269" s="49"/>
      <c r="EQ269" s="49"/>
      <c r="ER269" s="49"/>
      <c r="ES269" s="49"/>
      <c r="ET269" s="49"/>
      <c r="EU269" s="49"/>
      <c r="EV269" s="49"/>
      <c r="EW269" s="49"/>
    </row>
    <row r="270" spans="3:153" x14ac:dyDescent="0.3">
      <c r="C270" s="37"/>
      <c r="D270" s="37"/>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49"/>
      <c r="DQ270" s="49"/>
      <c r="DR270" s="49"/>
      <c r="DS270" s="49"/>
      <c r="DT270" s="49"/>
      <c r="DU270" s="49"/>
      <c r="DV270" s="49"/>
      <c r="DW270" s="49"/>
      <c r="DX270" s="49"/>
      <c r="DY270" s="49"/>
      <c r="DZ270" s="49"/>
      <c r="EA270" s="49"/>
      <c r="EB270" s="49"/>
      <c r="EC270" s="49"/>
      <c r="ED270" s="49"/>
      <c r="EE270" s="49"/>
      <c r="EF270" s="49"/>
      <c r="EG270" s="49"/>
      <c r="EH270" s="49"/>
      <c r="EI270" s="49"/>
      <c r="EJ270" s="49"/>
      <c r="EK270" s="49"/>
      <c r="EL270" s="49"/>
      <c r="EM270" s="49"/>
      <c r="EN270" s="49"/>
      <c r="EO270" s="49"/>
      <c r="EP270" s="49"/>
      <c r="EQ270" s="49"/>
      <c r="ER270" s="49"/>
      <c r="ES270" s="49"/>
      <c r="ET270" s="49"/>
      <c r="EU270" s="49"/>
      <c r="EV270" s="49"/>
      <c r="EW270" s="49"/>
    </row>
    <row r="271" spans="3:153" x14ac:dyDescent="0.3">
      <c r="C271" s="37"/>
      <c r="D271" s="37"/>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49"/>
      <c r="DQ271" s="49"/>
      <c r="DR271" s="49"/>
      <c r="DS271" s="49"/>
      <c r="DT271" s="49"/>
      <c r="DU271" s="49"/>
      <c r="DV271" s="49"/>
      <c r="DW271" s="49"/>
      <c r="DX271" s="49"/>
      <c r="DY271" s="49"/>
      <c r="DZ271" s="49"/>
      <c r="EA271" s="49"/>
      <c r="EB271" s="49"/>
      <c r="EC271" s="49"/>
      <c r="ED271" s="49"/>
      <c r="EE271" s="49"/>
      <c r="EF271" s="49"/>
      <c r="EG271" s="49"/>
      <c r="EH271" s="49"/>
      <c r="EI271" s="49"/>
      <c r="EJ271" s="49"/>
      <c r="EK271" s="49"/>
      <c r="EL271" s="49"/>
      <c r="EM271" s="49"/>
      <c r="EN271" s="49"/>
      <c r="EO271" s="49"/>
      <c r="EP271" s="49"/>
      <c r="EQ271" s="49"/>
      <c r="ER271" s="49"/>
      <c r="ES271" s="49"/>
      <c r="ET271" s="49"/>
      <c r="EU271" s="49"/>
      <c r="EV271" s="49"/>
      <c r="EW271" s="49"/>
    </row>
    <row r="272" spans="3:153" x14ac:dyDescent="0.3">
      <c r="C272" s="37"/>
      <c r="D272" s="37"/>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49"/>
      <c r="DQ272" s="49"/>
      <c r="DR272" s="49"/>
      <c r="DS272" s="49"/>
      <c r="DT272" s="49"/>
      <c r="DU272" s="49"/>
      <c r="DV272" s="49"/>
      <c r="DW272" s="49"/>
      <c r="DX272" s="49"/>
      <c r="DY272" s="49"/>
      <c r="DZ272" s="49"/>
      <c r="EA272" s="49"/>
      <c r="EB272" s="49"/>
      <c r="EC272" s="49"/>
      <c r="ED272" s="49"/>
      <c r="EE272" s="49"/>
      <c r="EF272" s="49"/>
      <c r="EG272" s="49"/>
      <c r="EH272" s="49"/>
      <c r="EI272" s="49"/>
      <c r="EJ272" s="49"/>
      <c r="EK272" s="49"/>
      <c r="EL272" s="49"/>
      <c r="EM272" s="49"/>
      <c r="EN272" s="49"/>
      <c r="EO272" s="49"/>
      <c r="EP272" s="49"/>
      <c r="EQ272" s="49"/>
      <c r="ER272" s="49"/>
      <c r="ES272" s="49"/>
      <c r="ET272" s="49"/>
      <c r="EU272" s="49"/>
      <c r="EV272" s="49"/>
      <c r="EW272" s="49"/>
    </row>
    <row r="273" spans="3:153" x14ac:dyDescent="0.3">
      <c r="C273" s="37"/>
      <c r="D273" s="37"/>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49"/>
      <c r="DQ273" s="49"/>
      <c r="DR273" s="49"/>
      <c r="DS273" s="49"/>
      <c r="DT273" s="49"/>
      <c r="DU273" s="49"/>
      <c r="DV273" s="49"/>
      <c r="DW273" s="49"/>
      <c r="DX273" s="49"/>
      <c r="DY273" s="49"/>
      <c r="DZ273" s="49"/>
      <c r="EA273" s="49"/>
      <c r="EB273" s="49"/>
      <c r="EC273" s="49"/>
      <c r="ED273" s="49"/>
      <c r="EE273" s="49"/>
      <c r="EF273" s="49"/>
      <c r="EG273" s="49"/>
      <c r="EH273" s="49"/>
      <c r="EI273" s="49"/>
      <c r="EJ273" s="49"/>
      <c r="EK273" s="49"/>
      <c r="EL273" s="49"/>
      <c r="EM273" s="49"/>
      <c r="EN273" s="49"/>
      <c r="EO273" s="49"/>
      <c r="EP273" s="49"/>
      <c r="EQ273" s="49"/>
      <c r="ER273" s="49"/>
      <c r="ES273" s="49"/>
      <c r="ET273" s="49"/>
      <c r="EU273" s="49"/>
      <c r="EV273" s="49"/>
      <c r="EW273" s="49"/>
    </row>
    <row r="274" spans="3:153" x14ac:dyDescent="0.3">
      <c r="C274" s="37"/>
      <c r="D274" s="37"/>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49"/>
      <c r="DQ274" s="49"/>
      <c r="DR274" s="49"/>
      <c r="DS274" s="49"/>
      <c r="DT274" s="49"/>
      <c r="DU274" s="49"/>
      <c r="DV274" s="49"/>
      <c r="DW274" s="49"/>
      <c r="DX274" s="49"/>
      <c r="DY274" s="49"/>
      <c r="DZ274" s="49"/>
      <c r="EA274" s="49"/>
      <c r="EB274" s="49"/>
      <c r="EC274" s="49"/>
      <c r="ED274" s="49"/>
      <c r="EE274" s="49"/>
      <c r="EF274" s="49"/>
      <c r="EG274" s="49"/>
      <c r="EH274" s="49"/>
      <c r="EI274" s="49"/>
      <c r="EJ274" s="49"/>
      <c r="EK274" s="49"/>
      <c r="EL274" s="49"/>
      <c r="EM274" s="49"/>
      <c r="EN274" s="49"/>
      <c r="EO274" s="49"/>
      <c r="EP274" s="49"/>
      <c r="EQ274" s="49"/>
      <c r="ER274" s="49"/>
      <c r="ES274" s="49"/>
      <c r="ET274" s="49"/>
      <c r="EU274" s="49"/>
      <c r="EV274" s="49"/>
      <c r="EW274" s="49"/>
    </row>
    <row r="275" spans="3:153" x14ac:dyDescent="0.3">
      <c r="C275" s="37"/>
      <c r="D275" s="37"/>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49"/>
      <c r="DQ275" s="49"/>
      <c r="DR275" s="49"/>
      <c r="DS275" s="49"/>
      <c r="DT275" s="49"/>
      <c r="DU275" s="49"/>
      <c r="DV275" s="49"/>
      <c r="DW275" s="49"/>
      <c r="DX275" s="49"/>
      <c r="DY275" s="49"/>
      <c r="DZ275" s="49"/>
      <c r="EA275" s="49"/>
      <c r="EB275" s="49"/>
      <c r="EC275" s="49"/>
      <c r="ED275" s="49"/>
      <c r="EE275" s="49"/>
      <c r="EF275" s="49"/>
      <c r="EG275" s="49"/>
      <c r="EH275" s="49"/>
      <c r="EI275" s="49"/>
      <c r="EJ275" s="49"/>
      <c r="EK275" s="49"/>
      <c r="EL275" s="49"/>
      <c r="EM275" s="49"/>
      <c r="EN275" s="49"/>
      <c r="EO275" s="49"/>
      <c r="EP275" s="49"/>
      <c r="EQ275" s="49"/>
      <c r="ER275" s="49"/>
      <c r="ES275" s="49"/>
      <c r="ET275" s="49"/>
      <c r="EU275" s="49"/>
      <c r="EV275" s="49"/>
      <c r="EW275" s="49"/>
    </row>
    <row r="276" spans="3:153" x14ac:dyDescent="0.3">
      <c r="C276" s="37"/>
      <c r="D276" s="37"/>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49"/>
      <c r="DQ276" s="49"/>
      <c r="DR276" s="49"/>
      <c r="DS276" s="49"/>
      <c r="DT276" s="49"/>
      <c r="DU276" s="49"/>
      <c r="DV276" s="49"/>
      <c r="DW276" s="49"/>
      <c r="DX276" s="49"/>
      <c r="DY276" s="49"/>
      <c r="DZ276" s="49"/>
      <c r="EA276" s="49"/>
      <c r="EB276" s="49"/>
      <c r="EC276" s="49"/>
      <c r="ED276" s="49"/>
      <c r="EE276" s="49"/>
      <c r="EF276" s="49"/>
      <c r="EG276" s="49"/>
      <c r="EH276" s="49"/>
      <c r="EI276" s="49"/>
      <c r="EJ276" s="49"/>
      <c r="EK276" s="49"/>
      <c r="EL276" s="49"/>
      <c r="EM276" s="49"/>
      <c r="EN276" s="49"/>
      <c r="EO276" s="49"/>
      <c r="EP276" s="49"/>
      <c r="EQ276" s="49"/>
      <c r="ER276" s="49"/>
      <c r="ES276" s="49"/>
      <c r="ET276" s="49"/>
      <c r="EU276" s="49"/>
      <c r="EV276" s="49"/>
      <c r="EW276" s="49"/>
    </row>
    <row r="277" spans="3:153" x14ac:dyDescent="0.3">
      <c r="C277" s="37"/>
      <c r="D277" s="37"/>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49"/>
      <c r="DQ277" s="49"/>
      <c r="DR277" s="49"/>
      <c r="DS277" s="49"/>
      <c r="DT277" s="49"/>
      <c r="DU277" s="49"/>
      <c r="DV277" s="49"/>
      <c r="DW277" s="49"/>
      <c r="DX277" s="49"/>
      <c r="DY277" s="49"/>
      <c r="DZ277" s="49"/>
      <c r="EA277" s="49"/>
      <c r="EB277" s="49"/>
      <c r="EC277" s="49"/>
      <c r="ED277" s="49"/>
      <c r="EE277" s="49"/>
      <c r="EF277" s="49"/>
      <c r="EG277" s="49"/>
      <c r="EH277" s="49"/>
      <c r="EI277" s="49"/>
      <c r="EJ277" s="49"/>
      <c r="EK277" s="49"/>
      <c r="EL277" s="49"/>
      <c r="EM277" s="49"/>
      <c r="EN277" s="49"/>
      <c r="EO277" s="49"/>
      <c r="EP277" s="49"/>
      <c r="EQ277" s="49"/>
      <c r="ER277" s="49"/>
      <c r="ES277" s="49"/>
      <c r="ET277" s="49"/>
      <c r="EU277" s="49"/>
      <c r="EV277" s="49"/>
      <c r="EW277" s="49"/>
    </row>
    <row r="278" spans="3:153" x14ac:dyDescent="0.3">
      <c r="C278" s="37"/>
      <c r="D278" s="37"/>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49"/>
      <c r="DQ278" s="49"/>
      <c r="DR278" s="49"/>
      <c r="DS278" s="49"/>
      <c r="DT278" s="49"/>
      <c r="DU278" s="49"/>
      <c r="DV278" s="49"/>
      <c r="DW278" s="49"/>
      <c r="DX278" s="49"/>
      <c r="DY278" s="49"/>
      <c r="DZ278" s="49"/>
      <c r="EA278" s="49"/>
      <c r="EB278" s="49"/>
      <c r="EC278" s="49"/>
      <c r="ED278" s="49"/>
      <c r="EE278" s="49"/>
      <c r="EF278" s="49"/>
      <c r="EG278" s="49"/>
      <c r="EH278" s="49"/>
      <c r="EI278" s="49"/>
      <c r="EJ278" s="49"/>
      <c r="EK278" s="49"/>
      <c r="EL278" s="49"/>
      <c r="EM278" s="49"/>
      <c r="EN278" s="49"/>
      <c r="EO278" s="49"/>
      <c r="EP278" s="49"/>
      <c r="EQ278" s="49"/>
      <c r="ER278" s="49"/>
      <c r="ES278" s="49"/>
      <c r="ET278" s="49"/>
      <c r="EU278" s="49"/>
      <c r="EV278" s="49"/>
      <c r="EW278" s="49"/>
    </row>
    <row r="279" spans="3:153" x14ac:dyDescent="0.3">
      <c r="C279" s="37"/>
      <c r="D279" s="37"/>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49"/>
      <c r="DQ279" s="49"/>
      <c r="DR279" s="49"/>
      <c r="DS279" s="49"/>
      <c r="DT279" s="49"/>
      <c r="DU279" s="49"/>
      <c r="DV279" s="49"/>
      <c r="DW279" s="49"/>
      <c r="DX279" s="49"/>
      <c r="DY279" s="49"/>
      <c r="DZ279" s="49"/>
      <c r="EA279" s="49"/>
      <c r="EB279" s="49"/>
      <c r="EC279" s="49"/>
      <c r="ED279" s="49"/>
      <c r="EE279" s="49"/>
      <c r="EF279" s="49"/>
      <c r="EG279" s="49"/>
      <c r="EH279" s="49"/>
      <c r="EI279" s="49"/>
      <c r="EJ279" s="49"/>
      <c r="EK279" s="49"/>
      <c r="EL279" s="49"/>
      <c r="EM279" s="49"/>
      <c r="EN279" s="49"/>
      <c r="EO279" s="49"/>
      <c r="EP279" s="49"/>
      <c r="EQ279" s="49"/>
      <c r="ER279" s="49"/>
      <c r="ES279" s="49"/>
      <c r="ET279" s="49"/>
      <c r="EU279" s="49"/>
      <c r="EV279" s="49"/>
      <c r="EW279" s="49"/>
    </row>
    <row r="280" spans="3:153" x14ac:dyDescent="0.3">
      <c r="C280" s="37"/>
      <c r="D280" s="37"/>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49"/>
      <c r="DQ280" s="49"/>
      <c r="DR280" s="49"/>
      <c r="DS280" s="49"/>
      <c r="DT280" s="49"/>
      <c r="DU280" s="49"/>
      <c r="DV280" s="49"/>
      <c r="DW280" s="49"/>
      <c r="DX280" s="49"/>
      <c r="DY280" s="49"/>
      <c r="DZ280" s="49"/>
      <c r="EA280" s="49"/>
      <c r="EB280" s="49"/>
      <c r="EC280" s="49"/>
      <c r="ED280" s="49"/>
      <c r="EE280" s="49"/>
      <c r="EF280" s="49"/>
      <c r="EG280" s="49"/>
      <c r="EH280" s="49"/>
      <c r="EI280" s="49"/>
      <c r="EJ280" s="49"/>
      <c r="EK280" s="49"/>
      <c r="EL280" s="49"/>
      <c r="EM280" s="49"/>
      <c r="EN280" s="49"/>
      <c r="EO280" s="49"/>
      <c r="EP280" s="49"/>
      <c r="EQ280" s="49"/>
      <c r="ER280" s="49"/>
      <c r="ES280" s="49"/>
      <c r="ET280" s="49"/>
      <c r="EU280" s="49"/>
      <c r="EV280" s="49"/>
      <c r="EW280" s="49"/>
    </row>
    <row r="281" spans="3:153" x14ac:dyDescent="0.3">
      <c r="C281" s="37"/>
      <c r="D281" s="37"/>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c r="DM281" s="34"/>
      <c r="DN281" s="34"/>
      <c r="DO281" s="34"/>
      <c r="DP281" s="49"/>
      <c r="DQ281" s="49"/>
      <c r="DR281" s="49"/>
      <c r="DS281" s="49"/>
      <c r="DT281" s="49"/>
      <c r="DU281" s="49"/>
      <c r="DV281" s="49"/>
      <c r="DW281" s="49"/>
      <c r="DX281" s="49"/>
      <c r="DY281" s="49"/>
      <c r="DZ281" s="49"/>
      <c r="EA281" s="49"/>
      <c r="EB281" s="49"/>
      <c r="EC281" s="49"/>
      <c r="ED281" s="49"/>
      <c r="EE281" s="49"/>
      <c r="EF281" s="49"/>
      <c r="EG281" s="49"/>
      <c r="EH281" s="49"/>
      <c r="EI281" s="49"/>
      <c r="EJ281" s="49"/>
      <c r="EK281" s="49"/>
      <c r="EL281" s="49"/>
      <c r="EM281" s="49"/>
      <c r="EN281" s="49"/>
      <c r="EO281" s="49"/>
      <c r="EP281" s="49"/>
      <c r="EQ281" s="49"/>
      <c r="ER281" s="49"/>
      <c r="ES281" s="49"/>
      <c r="ET281" s="49"/>
      <c r="EU281" s="49"/>
      <c r="EV281" s="49"/>
      <c r="EW281" s="49"/>
    </row>
    <row r="282" spans="3:153" x14ac:dyDescent="0.3">
      <c r="C282" s="37"/>
      <c r="D282" s="37"/>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c r="DM282" s="34"/>
      <c r="DN282" s="34"/>
      <c r="DO282" s="34"/>
      <c r="DP282" s="49"/>
      <c r="DQ282" s="49"/>
      <c r="DR282" s="49"/>
      <c r="DS282" s="49"/>
      <c r="DT282" s="49"/>
      <c r="DU282" s="49"/>
      <c r="DV282" s="49"/>
      <c r="DW282" s="49"/>
      <c r="DX282" s="49"/>
      <c r="DY282" s="49"/>
      <c r="DZ282" s="49"/>
      <c r="EA282" s="49"/>
      <c r="EB282" s="49"/>
      <c r="EC282" s="49"/>
      <c r="ED282" s="49"/>
      <c r="EE282" s="49"/>
      <c r="EF282" s="49"/>
      <c r="EG282" s="49"/>
      <c r="EH282" s="49"/>
      <c r="EI282" s="49"/>
      <c r="EJ282" s="49"/>
      <c r="EK282" s="49"/>
      <c r="EL282" s="49"/>
      <c r="EM282" s="49"/>
      <c r="EN282" s="49"/>
      <c r="EO282" s="49"/>
      <c r="EP282" s="49"/>
      <c r="EQ282" s="49"/>
      <c r="ER282" s="49"/>
      <c r="ES282" s="49"/>
      <c r="ET282" s="49"/>
      <c r="EU282" s="49"/>
      <c r="EV282" s="49"/>
      <c r="EW282" s="49"/>
    </row>
    <row r="283" spans="3:153" x14ac:dyDescent="0.3">
      <c r="C283" s="37"/>
      <c r="D283" s="37"/>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c r="DM283" s="34"/>
      <c r="DN283" s="34"/>
      <c r="DO283" s="34"/>
      <c r="DP283" s="49"/>
      <c r="DQ283" s="49"/>
      <c r="DR283" s="49"/>
      <c r="DS283" s="49"/>
      <c r="DT283" s="49"/>
      <c r="DU283" s="49"/>
      <c r="DV283" s="49"/>
      <c r="DW283" s="49"/>
      <c r="DX283" s="49"/>
      <c r="DY283" s="49"/>
      <c r="DZ283" s="49"/>
      <c r="EA283" s="49"/>
      <c r="EB283" s="49"/>
      <c r="EC283" s="49"/>
      <c r="ED283" s="49"/>
      <c r="EE283" s="49"/>
      <c r="EF283" s="49"/>
      <c r="EG283" s="49"/>
      <c r="EH283" s="49"/>
      <c r="EI283" s="49"/>
      <c r="EJ283" s="49"/>
      <c r="EK283" s="49"/>
      <c r="EL283" s="49"/>
      <c r="EM283" s="49"/>
      <c r="EN283" s="49"/>
      <c r="EO283" s="49"/>
      <c r="EP283" s="49"/>
      <c r="EQ283" s="49"/>
      <c r="ER283" s="49"/>
      <c r="ES283" s="49"/>
      <c r="ET283" s="49"/>
      <c r="EU283" s="49"/>
      <c r="EV283" s="49"/>
      <c r="EW283" s="49"/>
    </row>
    <row r="284" spans="3:153" x14ac:dyDescent="0.3">
      <c r="C284" s="37"/>
      <c r="D284" s="37"/>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c r="DM284" s="34"/>
      <c r="DN284" s="34"/>
      <c r="DO284" s="34"/>
      <c r="DP284" s="49"/>
      <c r="DQ284" s="49"/>
      <c r="DR284" s="49"/>
      <c r="DS284" s="49"/>
      <c r="DT284" s="49"/>
      <c r="DU284" s="49"/>
      <c r="DV284" s="49"/>
      <c r="DW284" s="49"/>
      <c r="DX284" s="49"/>
      <c r="DY284" s="49"/>
      <c r="DZ284" s="49"/>
      <c r="EA284" s="49"/>
      <c r="EB284" s="49"/>
      <c r="EC284" s="49"/>
      <c r="ED284" s="49"/>
      <c r="EE284" s="49"/>
      <c r="EF284" s="49"/>
      <c r="EG284" s="49"/>
      <c r="EH284" s="49"/>
      <c r="EI284" s="49"/>
      <c r="EJ284" s="49"/>
      <c r="EK284" s="49"/>
      <c r="EL284" s="49"/>
      <c r="EM284" s="49"/>
      <c r="EN284" s="49"/>
      <c r="EO284" s="49"/>
      <c r="EP284" s="49"/>
      <c r="EQ284" s="49"/>
      <c r="ER284" s="49"/>
      <c r="ES284" s="49"/>
      <c r="ET284" s="49"/>
      <c r="EU284" s="49"/>
      <c r="EV284" s="49"/>
      <c r="EW284" s="49"/>
    </row>
    <row r="285" spans="3:153" x14ac:dyDescent="0.3">
      <c r="C285" s="37"/>
      <c r="D285" s="37"/>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c r="DM285" s="34"/>
      <c r="DN285" s="34"/>
      <c r="DO285" s="34"/>
      <c r="DP285" s="49"/>
      <c r="DQ285" s="49"/>
      <c r="DR285" s="49"/>
      <c r="DS285" s="49"/>
      <c r="DT285" s="49"/>
      <c r="DU285" s="49"/>
      <c r="DV285" s="49"/>
      <c r="DW285" s="49"/>
      <c r="DX285" s="49"/>
      <c r="DY285" s="49"/>
      <c r="DZ285" s="49"/>
      <c r="EA285" s="49"/>
      <c r="EB285" s="49"/>
      <c r="EC285" s="49"/>
      <c r="ED285" s="49"/>
      <c r="EE285" s="49"/>
      <c r="EF285" s="49"/>
      <c r="EG285" s="49"/>
      <c r="EH285" s="49"/>
      <c r="EI285" s="49"/>
      <c r="EJ285" s="49"/>
      <c r="EK285" s="49"/>
      <c r="EL285" s="49"/>
      <c r="EM285" s="49"/>
      <c r="EN285" s="49"/>
      <c r="EO285" s="49"/>
      <c r="EP285" s="49"/>
      <c r="EQ285" s="49"/>
      <c r="ER285" s="49"/>
      <c r="ES285" s="49"/>
      <c r="ET285" s="49"/>
      <c r="EU285" s="49"/>
      <c r="EV285" s="49"/>
      <c r="EW285" s="49"/>
    </row>
    <row r="286" spans="3:153" x14ac:dyDescent="0.3">
      <c r="C286" s="37"/>
      <c r="D286" s="37"/>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c r="DM286" s="34"/>
      <c r="DN286" s="34"/>
      <c r="DO286" s="34"/>
      <c r="DP286" s="49"/>
      <c r="DQ286" s="49"/>
      <c r="DR286" s="49"/>
      <c r="DS286" s="49"/>
      <c r="DT286" s="49"/>
      <c r="DU286" s="49"/>
      <c r="DV286" s="49"/>
      <c r="DW286" s="49"/>
      <c r="DX286" s="49"/>
      <c r="DY286" s="49"/>
      <c r="DZ286" s="49"/>
      <c r="EA286" s="49"/>
      <c r="EB286" s="49"/>
      <c r="EC286" s="49"/>
      <c r="ED286" s="49"/>
      <c r="EE286" s="49"/>
      <c r="EF286" s="49"/>
      <c r="EG286" s="49"/>
      <c r="EH286" s="49"/>
      <c r="EI286" s="49"/>
      <c r="EJ286" s="49"/>
      <c r="EK286" s="49"/>
      <c r="EL286" s="49"/>
      <c r="EM286" s="49"/>
      <c r="EN286" s="49"/>
      <c r="EO286" s="49"/>
      <c r="EP286" s="49"/>
      <c r="EQ286" s="49"/>
      <c r="ER286" s="49"/>
      <c r="ES286" s="49"/>
      <c r="ET286" s="49"/>
      <c r="EU286" s="49"/>
      <c r="EV286" s="49"/>
      <c r="EW286" s="49"/>
    </row>
    <row r="287" spans="3:153" x14ac:dyDescent="0.3">
      <c r="C287" s="37"/>
      <c r="D287" s="37"/>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c r="DM287" s="34"/>
      <c r="DN287" s="34"/>
      <c r="DO287" s="34"/>
      <c r="DP287" s="49"/>
      <c r="DQ287" s="49"/>
      <c r="DR287" s="49"/>
      <c r="DS287" s="49"/>
      <c r="DT287" s="49"/>
      <c r="DU287" s="49"/>
      <c r="DV287" s="49"/>
      <c r="DW287" s="49"/>
      <c r="DX287" s="49"/>
      <c r="DY287" s="49"/>
      <c r="DZ287" s="49"/>
      <c r="EA287" s="49"/>
      <c r="EB287" s="49"/>
      <c r="EC287" s="49"/>
      <c r="ED287" s="49"/>
      <c r="EE287" s="49"/>
      <c r="EF287" s="49"/>
      <c r="EG287" s="49"/>
      <c r="EH287" s="49"/>
      <c r="EI287" s="49"/>
      <c r="EJ287" s="49"/>
      <c r="EK287" s="49"/>
      <c r="EL287" s="49"/>
      <c r="EM287" s="49"/>
      <c r="EN287" s="49"/>
      <c r="EO287" s="49"/>
      <c r="EP287" s="49"/>
      <c r="EQ287" s="49"/>
      <c r="ER287" s="49"/>
      <c r="ES287" s="49"/>
      <c r="ET287" s="49"/>
      <c r="EU287" s="49"/>
      <c r="EV287" s="49"/>
      <c r="EW287" s="49"/>
    </row>
    <row r="288" spans="3:153" x14ac:dyDescent="0.3">
      <c r="C288" s="37"/>
      <c r="D288" s="37"/>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c r="DM288" s="34"/>
      <c r="DN288" s="34"/>
      <c r="DO288" s="34"/>
      <c r="DP288" s="49"/>
      <c r="DQ288" s="49"/>
      <c r="DR288" s="49"/>
      <c r="DS288" s="49"/>
      <c r="DT288" s="49"/>
      <c r="DU288" s="49"/>
      <c r="DV288" s="49"/>
      <c r="DW288" s="49"/>
      <c r="DX288" s="49"/>
      <c r="DY288" s="49"/>
      <c r="DZ288" s="49"/>
      <c r="EA288" s="49"/>
      <c r="EB288" s="49"/>
      <c r="EC288" s="49"/>
      <c r="ED288" s="49"/>
      <c r="EE288" s="49"/>
      <c r="EF288" s="49"/>
      <c r="EG288" s="49"/>
      <c r="EH288" s="49"/>
      <c r="EI288" s="49"/>
      <c r="EJ288" s="49"/>
      <c r="EK288" s="49"/>
      <c r="EL288" s="49"/>
      <c r="EM288" s="49"/>
      <c r="EN288" s="49"/>
      <c r="EO288" s="49"/>
      <c r="EP288" s="49"/>
      <c r="EQ288" s="49"/>
      <c r="ER288" s="49"/>
      <c r="ES288" s="49"/>
      <c r="ET288" s="49"/>
      <c r="EU288" s="49"/>
      <c r="EV288" s="49"/>
      <c r="EW288" s="49"/>
    </row>
    <row r="289" spans="3:153" x14ac:dyDescent="0.3">
      <c r="C289" s="37"/>
      <c r="D289" s="37"/>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c r="DM289" s="34"/>
      <c r="DN289" s="34"/>
      <c r="DO289" s="34"/>
      <c r="DP289" s="49"/>
      <c r="DQ289" s="49"/>
      <c r="DR289" s="49"/>
      <c r="DS289" s="49"/>
      <c r="DT289" s="49"/>
      <c r="DU289" s="49"/>
      <c r="DV289" s="49"/>
      <c r="DW289" s="49"/>
      <c r="DX289" s="49"/>
      <c r="DY289" s="49"/>
      <c r="DZ289" s="49"/>
      <c r="EA289" s="49"/>
      <c r="EB289" s="49"/>
      <c r="EC289" s="49"/>
      <c r="ED289" s="49"/>
      <c r="EE289" s="49"/>
      <c r="EF289" s="49"/>
      <c r="EG289" s="49"/>
      <c r="EH289" s="49"/>
      <c r="EI289" s="49"/>
      <c r="EJ289" s="49"/>
      <c r="EK289" s="49"/>
      <c r="EL289" s="49"/>
      <c r="EM289" s="49"/>
      <c r="EN289" s="49"/>
      <c r="EO289" s="49"/>
      <c r="EP289" s="49"/>
      <c r="EQ289" s="49"/>
      <c r="ER289" s="49"/>
      <c r="ES289" s="49"/>
      <c r="ET289" s="49"/>
      <c r="EU289" s="49"/>
      <c r="EV289" s="49"/>
      <c r="EW289" s="49"/>
    </row>
    <row r="290" spans="3:153" x14ac:dyDescent="0.3">
      <c r="C290" s="37"/>
      <c r="D290" s="37"/>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c r="DM290" s="34"/>
      <c r="DN290" s="34"/>
      <c r="DO290" s="34"/>
      <c r="DP290" s="49"/>
      <c r="DQ290" s="49"/>
      <c r="DR290" s="49"/>
      <c r="DS290" s="49"/>
      <c r="DT290" s="49"/>
      <c r="DU290" s="49"/>
      <c r="DV290" s="49"/>
      <c r="DW290" s="49"/>
      <c r="DX290" s="49"/>
      <c r="DY290" s="49"/>
      <c r="DZ290" s="49"/>
      <c r="EA290" s="49"/>
      <c r="EB290" s="49"/>
      <c r="EC290" s="49"/>
      <c r="ED290" s="49"/>
      <c r="EE290" s="49"/>
      <c r="EF290" s="49"/>
      <c r="EG290" s="49"/>
      <c r="EH290" s="49"/>
      <c r="EI290" s="49"/>
      <c r="EJ290" s="49"/>
      <c r="EK290" s="49"/>
      <c r="EL290" s="49"/>
      <c r="EM290" s="49"/>
      <c r="EN290" s="49"/>
      <c r="EO290" s="49"/>
      <c r="EP290" s="49"/>
      <c r="EQ290" s="49"/>
      <c r="ER290" s="49"/>
      <c r="ES290" s="49"/>
      <c r="ET290" s="49"/>
      <c r="EU290" s="49"/>
      <c r="EV290" s="49"/>
      <c r="EW290" s="49"/>
    </row>
    <row r="291" spans="3:153" x14ac:dyDescent="0.3">
      <c r="C291" s="37"/>
      <c r="D291" s="37"/>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c r="DM291" s="34"/>
      <c r="DN291" s="34"/>
      <c r="DO291" s="34"/>
      <c r="DP291" s="49"/>
      <c r="DQ291" s="49"/>
      <c r="DR291" s="49"/>
      <c r="DS291" s="49"/>
      <c r="DT291" s="49"/>
      <c r="DU291" s="49"/>
      <c r="DV291" s="49"/>
      <c r="DW291" s="49"/>
      <c r="DX291" s="49"/>
      <c r="DY291" s="49"/>
      <c r="DZ291" s="49"/>
      <c r="EA291" s="49"/>
      <c r="EB291" s="49"/>
      <c r="EC291" s="49"/>
      <c r="ED291" s="49"/>
      <c r="EE291" s="49"/>
      <c r="EF291" s="49"/>
      <c r="EG291" s="49"/>
      <c r="EH291" s="49"/>
      <c r="EI291" s="49"/>
      <c r="EJ291" s="49"/>
      <c r="EK291" s="49"/>
      <c r="EL291" s="49"/>
      <c r="EM291" s="49"/>
      <c r="EN291" s="49"/>
      <c r="EO291" s="49"/>
      <c r="EP291" s="49"/>
      <c r="EQ291" s="49"/>
      <c r="ER291" s="49"/>
      <c r="ES291" s="49"/>
      <c r="ET291" s="49"/>
      <c r="EU291" s="49"/>
      <c r="EV291" s="49"/>
      <c r="EW291" s="49"/>
    </row>
    <row r="292" spans="3:153" x14ac:dyDescent="0.3">
      <c r="C292" s="37"/>
      <c r="D292" s="37"/>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c r="DM292" s="34"/>
      <c r="DN292" s="34"/>
      <c r="DO292" s="34"/>
      <c r="DP292" s="49"/>
      <c r="DQ292" s="49"/>
      <c r="DR292" s="49"/>
      <c r="DS292" s="49"/>
      <c r="DT292" s="49"/>
      <c r="DU292" s="49"/>
      <c r="DV292" s="49"/>
      <c r="DW292" s="49"/>
      <c r="DX292" s="49"/>
      <c r="DY292" s="49"/>
      <c r="DZ292" s="49"/>
      <c r="EA292" s="49"/>
      <c r="EB292" s="49"/>
      <c r="EC292" s="49"/>
      <c r="ED292" s="49"/>
      <c r="EE292" s="49"/>
      <c r="EF292" s="49"/>
      <c r="EG292" s="49"/>
      <c r="EH292" s="49"/>
      <c r="EI292" s="49"/>
      <c r="EJ292" s="49"/>
      <c r="EK292" s="49"/>
      <c r="EL292" s="49"/>
      <c r="EM292" s="49"/>
      <c r="EN292" s="49"/>
      <c r="EO292" s="49"/>
      <c r="EP292" s="49"/>
      <c r="EQ292" s="49"/>
      <c r="ER292" s="49"/>
      <c r="ES292" s="49"/>
      <c r="ET292" s="49"/>
      <c r="EU292" s="49"/>
      <c r="EV292" s="49"/>
      <c r="EW292" s="49"/>
    </row>
    <row r="293" spans="3:153" x14ac:dyDescent="0.3">
      <c r="C293" s="37"/>
      <c r="D293" s="37"/>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c r="DM293" s="34"/>
      <c r="DN293" s="34"/>
      <c r="DO293" s="34"/>
      <c r="DP293" s="49"/>
      <c r="DQ293" s="49"/>
      <c r="DR293" s="49"/>
      <c r="DS293" s="49"/>
      <c r="DT293" s="49"/>
      <c r="DU293" s="49"/>
      <c r="DV293" s="49"/>
      <c r="DW293" s="49"/>
      <c r="DX293" s="49"/>
      <c r="DY293" s="49"/>
      <c r="DZ293" s="49"/>
      <c r="EA293" s="49"/>
      <c r="EB293" s="49"/>
      <c r="EC293" s="49"/>
      <c r="ED293" s="49"/>
      <c r="EE293" s="49"/>
      <c r="EF293" s="49"/>
      <c r="EG293" s="49"/>
      <c r="EH293" s="49"/>
      <c r="EI293" s="49"/>
      <c r="EJ293" s="49"/>
      <c r="EK293" s="49"/>
      <c r="EL293" s="49"/>
      <c r="EM293" s="49"/>
      <c r="EN293" s="49"/>
      <c r="EO293" s="49"/>
      <c r="EP293" s="49"/>
      <c r="EQ293" s="49"/>
      <c r="ER293" s="49"/>
      <c r="ES293" s="49"/>
      <c r="ET293" s="49"/>
      <c r="EU293" s="49"/>
      <c r="EV293" s="49"/>
      <c r="EW293" s="49"/>
    </row>
    <row r="294" spans="3:153" x14ac:dyDescent="0.3">
      <c r="C294" s="37"/>
      <c r="D294" s="37"/>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c r="DM294" s="34"/>
      <c r="DN294" s="34"/>
      <c r="DO294" s="34"/>
      <c r="DP294" s="49"/>
      <c r="DQ294" s="49"/>
      <c r="DR294" s="49"/>
      <c r="DS294" s="49"/>
      <c r="DT294" s="49"/>
      <c r="DU294" s="49"/>
      <c r="DV294" s="49"/>
      <c r="DW294" s="49"/>
      <c r="DX294" s="49"/>
      <c r="DY294" s="49"/>
      <c r="DZ294" s="49"/>
      <c r="EA294" s="49"/>
      <c r="EB294" s="49"/>
      <c r="EC294" s="49"/>
      <c r="ED294" s="49"/>
      <c r="EE294" s="49"/>
      <c r="EF294" s="49"/>
      <c r="EG294" s="49"/>
      <c r="EH294" s="49"/>
      <c r="EI294" s="49"/>
      <c r="EJ294" s="49"/>
      <c r="EK294" s="49"/>
      <c r="EL294" s="49"/>
      <c r="EM294" s="49"/>
      <c r="EN294" s="49"/>
      <c r="EO294" s="49"/>
      <c r="EP294" s="49"/>
      <c r="EQ294" s="49"/>
      <c r="ER294" s="49"/>
      <c r="ES294" s="49"/>
      <c r="ET294" s="49"/>
      <c r="EU294" s="49"/>
      <c r="EV294" s="49"/>
      <c r="EW294" s="49"/>
    </row>
    <row r="295" spans="3:153" x14ac:dyDescent="0.3">
      <c r="C295" s="37"/>
      <c r="D295" s="37"/>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c r="DM295" s="34"/>
      <c r="DN295" s="34"/>
      <c r="DO295" s="34"/>
      <c r="DP295" s="49"/>
      <c r="DQ295" s="49"/>
      <c r="DR295" s="49"/>
      <c r="DS295" s="49"/>
      <c r="DT295" s="49"/>
      <c r="DU295" s="49"/>
      <c r="DV295" s="49"/>
      <c r="DW295" s="49"/>
      <c r="DX295" s="49"/>
      <c r="DY295" s="49"/>
      <c r="DZ295" s="49"/>
      <c r="EA295" s="49"/>
      <c r="EB295" s="49"/>
      <c r="EC295" s="49"/>
      <c r="ED295" s="49"/>
      <c r="EE295" s="49"/>
      <c r="EF295" s="49"/>
      <c r="EG295" s="49"/>
      <c r="EH295" s="49"/>
      <c r="EI295" s="49"/>
      <c r="EJ295" s="49"/>
      <c r="EK295" s="49"/>
      <c r="EL295" s="49"/>
      <c r="EM295" s="49"/>
      <c r="EN295" s="49"/>
      <c r="EO295" s="49"/>
      <c r="EP295" s="49"/>
      <c r="EQ295" s="49"/>
      <c r="ER295" s="49"/>
      <c r="ES295" s="49"/>
      <c r="ET295" s="49"/>
      <c r="EU295" s="49"/>
      <c r="EV295" s="49"/>
      <c r="EW295" s="49"/>
    </row>
    <row r="296" spans="3:153" x14ac:dyDescent="0.3">
      <c r="C296" s="37"/>
      <c r="D296" s="37"/>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c r="DM296" s="34"/>
      <c r="DN296" s="34"/>
      <c r="DO296" s="34"/>
      <c r="DP296" s="49"/>
      <c r="DQ296" s="49"/>
      <c r="DR296" s="49"/>
      <c r="DS296" s="49"/>
      <c r="DT296" s="49"/>
      <c r="DU296" s="49"/>
      <c r="DV296" s="49"/>
      <c r="DW296" s="49"/>
      <c r="DX296" s="49"/>
      <c r="DY296" s="49"/>
      <c r="DZ296" s="49"/>
      <c r="EA296" s="49"/>
      <c r="EB296" s="49"/>
      <c r="EC296" s="49"/>
      <c r="ED296" s="49"/>
      <c r="EE296" s="49"/>
      <c r="EF296" s="49"/>
      <c r="EG296" s="49"/>
      <c r="EH296" s="49"/>
      <c r="EI296" s="49"/>
      <c r="EJ296" s="49"/>
      <c r="EK296" s="49"/>
      <c r="EL296" s="49"/>
      <c r="EM296" s="49"/>
      <c r="EN296" s="49"/>
      <c r="EO296" s="49"/>
      <c r="EP296" s="49"/>
      <c r="EQ296" s="49"/>
      <c r="ER296" s="49"/>
      <c r="ES296" s="49"/>
      <c r="ET296" s="49"/>
      <c r="EU296" s="49"/>
      <c r="EV296" s="49"/>
      <c r="EW296" s="49"/>
    </row>
    <row r="297" spans="3:153" x14ac:dyDescent="0.3">
      <c r="C297" s="37"/>
      <c r="D297" s="37"/>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c r="DM297" s="34"/>
      <c r="DN297" s="34"/>
      <c r="DO297" s="34"/>
      <c r="DP297" s="49"/>
      <c r="DQ297" s="49"/>
      <c r="DR297" s="49"/>
      <c r="DS297" s="49"/>
      <c r="DT297" s="49"/>
      <c r="DU297" s="49"/>
      <c r="DV297" s="49"/>
      <c r="DW297" s="49"/>
      <c r="DX297" s="49"/>
      <c r="DY297" s="49"/>
      <c r="DZ297" s="49"/>
      <c r="EA297" s="49"/>
      <c r="EB297" s="49"/>
      <c r="EC297" s="49"/>
      <c r="ED297" s="49"/>
      <c r="EE297" s="49"/>
      <c r="EF297" s="49"/>
      <c r="EG297" s="49"/>
      <c r="EH297" s="49"/>
      <c r="EI297" s="49"/>
      <c r="EJ297" s="49"/>
      <c r="EK297" s="49"/>
      <c r="EL297" s="49"/>
      <c r="EM297" s="49"/>
      <c r="EN297" s="49"/>
      <c r="EO297" s="49"/>
      <c r="EP297" s="49"/>
      <c r="EQ297" s="49"/>
      <c r="ER297" s="49"/>
      <c r="ES297" s="49"/>
      <c r="ET297" s="49"/>
      <c r="EU297" s="49"/>
      <c r="EV297" s="49"/>
      <c r="EW297" s="49"/>
    </row>
    <row r="298" spans="3:153" x14ac:dyDescent="0.3">
      <c r="C298" s="37"/>
      <c r="D298" s="37"/>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c r="DM298" s="34"/>
      <c r="DN298" s="34"/>
      <c r="DO298" s="34"/>
      <c r="DP298" s="49"/>
      <c r="DQ298" s="49"/>
      <c r="DR298" s="49"/>
      <c r="DS298" s="49"/>
      <c r="DT298" s="49"/>
      <c r="DU298" s="49"/>
      <c r="DV298" s="49"/>
      <c r="DW298" s="49"/>
      <c r="DX298" s="49"/>
      <c r="DY298" s="49"/>
      <c r="DZ298" s="49"/>
      <c r="EA298" s="49"/>
      <c r="EB298" s="49"/>
      <c r="EC298" s="49"/>
      <c r="ED298" s="49"/>
      <c r="EE298" s="49"/>
      <c r="EF298" s="49"/>
      <c r="EG298" s="49"/>
      <c r="EH298" s="49"/>
      <c r="EI298" s="49"/>
      <c r="EJ298" s="49"/>
      <c r="EK298" s="49"/>
      <c r="EL298" s="49"/>
      <c r="EM298" s="49"/>
      <c r="EN298" s="49"/>
      <c r="EO298" s="49"/>
      <c r="EP298" s="49"/>
      <c r="EQ298" s="49"/>
      <c r="ER298" s="49"/>
      <c r="ES298" s="49"/>
      <c r="ET298" s="49"/>
      <c r="EU298" s="49"/>
      <c r="EV298" s="49"/>
      <c r="EW298" s="49"/>
    </row>
    <row r="299" spans="3:153" x14ac:dyDescent="0.3">
      <c r="C299" s="37"/>
      <c r="D299" s="37"/>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c r="DM299" s="34"/>
      <c r="DN299" s="34"/>
      <c r="DO299" s="34"/>
      <c r="DP299" s="49"/>
      <c r="DQ299" s="49"/>
      <c r="DR299" s="49"/>
      <c r="DS299" s="49"/>
      <c r="DT299" s="49"/>
      <c r="DU299" s="49"/>
      <c r="DV299" s="49"/>
      <c r="DW299" s="49"/>
      <c r="DX299" s="49"/>
      <c r="DY299" s="49"/>
      <c r="DZ299" s="49"/>
      <c r="EA299" s="49"/>
      <c r="EB299" s="49"/>
      <c r="EC299" s="49"/>
      <c r="ED299" s="49"/>
      <c r="EE299" s="49"/>
      <c r="EF299" s="49"/>
      <c r="EG299" s="49"/>
      <c r="EH299" s="49"/>
      <c r="EI299" s="49"/>
      <c r="EJ299" s="49"/>
      <c r="EK299" s="49"/>
      <c r="EL299" s="49"/>
      <c r="EM299" s="49"/>
      <c r="EN299" s="49"/>
      <c r="EO299" s="49"/>
      <c r="EP299" s="49"/>
      <c r="EQ299" s="49"/>
      <c r="ER299" s="49"/>
      <c r="ES299" s="49"/>
      <c r="ET299" s="49"/>
      <c r="EU299" s="49"/>
      <c r="EV299" s="49"/>
      <c r="EW299" s="49"/>
    </row>
    <row r="300" spans="3:153" x14ac:dyDescent="0.3">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row>
    <row r="301" spans="3:153" x14ac:dyDescent="0.3">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18"/>
      <c r="DO301" s="18"/>
      <c r="DP301" s="18"/>
      <c r="DQ301" s="18"/>
      <c r="DR301" s="18"/>
      <c r="DS301" s="18"/>
      <c r="DT301" s="18"/>
      <c r="DU301" s="18"/>
      <c r="DV301" s="18"/>
      <c r="DW301" s="18"/>
      <c r="DX301" s="18"/>
    </row>
    <row r="302" spans="3:153" x14ac:dyDescent="0.3">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c r="CV302" s="18"/>
      <c r="CW302" s="18"/>
      <c r="CX302" s="18"/>
      <c r="CY302" s="18"/>
      <c r="CZ302" s="18"/>
      <c r="DA302" s="18"/>
      <c r="DB302" s="18"/>
      <c r="DC302" s="18"/>
      <c r="DD302" s="18"/>
      <c r="DE302" s="18"/>
      <c r="DF302" s="18"/>
      <c r="DG302" s="18"/>
      <c r="DH302" s="18"/>
      <c r="DI302" s="18"/>
      <c r="DJ302" s="18"/>
      <c r="DK302" s="18"/>
      <c r="DL302" s="18"/>
      <c r="DM302" s="18"/>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sheetData>
  <sheetProtection sheet="1" objects="1" scenarios="1" formatCells="0" insertHyperlinks="0"/>
  <protectedRanges>
    <protectedRange sqref="Z23:AI23" name="Bereich5"/>
    <protectedRange sqref="E17" name="Bereich3"/>
    <protectedRange sqref="E2:E13 F13" name="Bereich2"/>
    <protectedRange sqref="F42:BH42" name="Bereich1"/>
    <protectedRange sqref="C1" name="Bereich4"/>
  </protectedRanges>
  <dataConsolidate/>
  <mergeCells count="1">
    <mergeCell ref="E41:F41"/>
  </mergeCells>
  <conditionalFormatting sqref="D45:D154">
    <cfRule type="expression" dxfId="10" priority="13">
      <formula>$E$5&gt;=ROW(D45)-ROW($D$44)</formula>
    </cfRule>
  </conditionalFormatting>
  <conditionalFormatting sqref="F42 E41">
    <cfRule type="expression" dxfId="9" priority="4">
      <formula>$E$41&gt;2000</formula>
    </cfRule>
    <cfRule type="expression" dxfId="8" priority="5">
      <formula>$E$41&gt;2000</formula>
    </cfRule>
    <cfRule type="expression" dxfId="7" priority="6">
      <formula>$E$41&gt;2000</formula>
    </cfRule>
    <cfRule type="expression" dxfId="6" priority="7">
      <formula>$E$41&gt;2000</formula>
    </cfRule>
    <cfRule type="expression" dxfId="5" priority="8">
      <formula>$E$41&gt;2000</formula>
    </cfRule>
    <cfRule type="expression" dxfId="4" priority="9">
      <formula>$E$41&gt;2000</formula>
    </cfRule>
    <cfRule type="expression" dxfId="3" priority="10">
      <formula>$E$41&gt;2000</formula>
    </cfRule>
    <cfRule type="expression" dxfId="2" priority="11">
      <formula>$E$41&gt;2000</formula>
    </cfRule>
  </conditionalFormatting>
  <conditionalFormatting sqref="F23:Y23">
    <cfRule type="expression" dxfId="1" priority="2">
      <formula>_xlfn.ISFORMULA(F23)</formula>
    </cfRule>
  </conditionalFormatting>
  <conditionalFormatting sqref="L78:BI78 AB57:BI57 E79:BI154 E78:J78 E45:BI56 E58:BI77 C45:D154 E57:Z57">
    <cfRule type="expression" dxfId="0" priority="14">
      <formula>$E$5&gt;=ROW(C45)-ROW($D$44)</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8205" r:id="rId4" name="Button 1">
              <controlPr defaultSize="0" print="0" autoFill="0" autoPict="0" macro="[0]!Update_Grafik">
                <anchor>
                  <from>
                    <xdr:col>5</xdr:col>
                    <xdr:colOff>106680</xdr:colOff>
                    <xdr:row>11</xdr:row>
                    <xdr:rowOff>182880</xdr:rowOff>
                  </from>
                  <to>
                    <xdr:col>7</xdr:col>
                    <xdr:colOff>60960</xdr:colOff>
                    <xdr:row>13</xdr:row>
                    <xdr:rowOff>22860</xdr:rowOff>
                  </to>
                </anchor>
              </controlPr>
            </control>
          </mc:Choice>
        </mc:AlternateContent>
        <mc:AlternateContent xmlns:mc="http://schemas.openxmlformats.org/markup-compatibility/2006">
          <mc:Choice Requires="x14">
            <control shapeId="8207" r:id="rId5" name="Button 2">
              <controlPr defaultSize="0" print="0" autoFill="0" autoPict="0" macro="[0]!New_Sheet">
                <anchor>
                  <from>
                    <xdr:col>5</xdr:col>
                    <xdr:colOff>99060</xdr:colOff>
                    <xdr:row>0</xdr:row>
                    <xdr:rowOff>38100</xdr:rowOff>
                  </from>
                  <to>
                    <xdr:col>7</xdr:col>
                    <xdr:colOff>45720</xdr:colOff>
                    <xdr:row>0</xdr:row>
                    <xdr:rowOff>259080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E136"/>
  <sheetViews>
    <sheetView topLeftCell="A65" workbookViewId="0">
      <selection activeCell="B97" sqref="B97"/>
    </sheetView>
  </sheetViews>
  <sheetFormatPr baseColWidth="10" defaultColWidth="11.44140625" defaultRowHeight="14.4" x14ac:dyDescent="0.3"/>
  <cols>
    <col min="1" max="1" width="14.5546875" bestFit="1" customWidth="1"/>
    <col min="3" max="3" width="45.33203125" customWidth="1"/>
    <col min="4" max="4" width="63.33203125" customWidth="1"/>
  </cols>
  <sheetData>
    <row r="1" spans="1:5" x14ac:dyDescent="0.3">
      <c r="A1" s="53"/>
      <c r="B1" s="53"/>
      <c r="C1" s="53"/>
      <c r="D1" s="53"/>
      <c r="E1" s="53"/>
    </row>
    <row r="2" spans="1:5" x14ac:dyDescent="0.3">
      <c r="A2" s="54" t="s">
        <v>55</v>
      </c>
      <c r="B2" s="54" t="s">
        <v>80</v>
      </c>
      <c r="C2" s="56" t="s">
        <v>53</v>
      </c>
      <c r="D2" s="56" t="s">
        <v>54</v>
      </c>
      <c r="E2" s="53"/>
    </row>
    <row r="3" spans="1:5" x14ac:dyDescent="0.3">
      <c r="A3" s="55" t="s">
        <v>81</v>
      </c>
      <c r="B3" s="55" t="s">
        <v>57</v>
      </c>
      <c r="C3" s="53" t="s">
        <v>2</v>
      </c>
      <c r="D3" s="53" t="s">
        <v>34</v>
      </c>
      <c r="E3" s="53"/>
    </row>
    <row r="4" spans="1:5" x14ac:dyDescent="0.3">
      <c r="A4" s="55" t="s">
        <v>81</v>
      </c>
      <c r="B4" s="55" t="s">
        <v>58</v>
      </c>
      <c r="C4" s="53" t="s">
        <v>8</v>
      </c>
      <c r="D4" s="53" t="s">
        <v>35</v>
      </c>
      <c r="E4" s="53"/>
    </row>
    <row r="5" spans="1:5" x14ac:dyDescent="0.3">
      <c r="A5" s="55" t="s">
        <v>81</v>
      </c>
      <c r="B5" s="55" t="s">
        <v>59</v>
      </c>
      <c r="C5" s="53" t="s">
        <v>3</v>
      </c>
      <c r="D5" s="53" t="s">
        <v>36</v>
      </c>
      <c r="E5" s="53"/>
    </row>
    <row r="6" spans="1:5" x14ac:dyDescent="0.3">
      <c r="A6" s="55" t="s">
        <v>81</v>
      </c>
      <c r="B6" s="55" t="s">
        <v>60</v>
      </c>
      <c r="C6" s="53" t="s">
        <v>4</v>
      </c>
      <c r="D6" s="53" t="s">
        <v>38</v>
      </c>
      <c r="E6" s="53"/>
    </row>
    <row r="7" spans="1:5" x14ac:dyDescent="0.3">
      <c r="A7" s="55" t="s">
        <v>81</v>
      </c>
      <c r="B7" s="55" t="s">
        <v>61</v>
      </c>
      <c r="C7" s="53" t="s">
        <v>37</v>
      </c>
      <c r="D7" s="53" t="s">
        <v>39</v>
      </c>
      <c r="E7" s="53"/>
    </row>
    <row r="8" spans="1:5" x14ac:dyDescent="0.3">
      <c r="A8" s="55" t="s">
        <v>81</v>
      </c>
      <c r="B8" s="55" t="s">
        <v>62</v>
      </c>
      <c r="C8" s="53" t="s">
        <v>17</v>
      </c>
      <c r="D8" s="53" t="s">
        <v>40</v>
      </c>
      <c r="E8" s="53"/>
    </row>
    <row r="9" spans="1:5" x14ac:dyDescent="0.3">
      <c r="A9" s="55" t="s">
        <v>81</v>
      </c>
      <c r="B9" s="55" t="s">
        <v>63</v>
      </c>
      <c r="C9" s="53" t="s">
        <v>16</v>
      </c>
      <c r="D9" s="53" t="s">
        <v>41</v>
      </c>
      <c r="E9" s="53"/>
    </row>
    <row r="10" spans="1:5" x14ac:dyDescent="0.3">
      <c r="A10" s="55" t="s">
        <v>81</v>
      </c>
      <c r="B10" s="55" t="s">
        <v>64</v>
      </c>
      <c r="C10" s="53" t="s">
        <v>5</v>
      </c>
      <c r="D10" s="53" t="s">
        <v>42</v>
      </c>
      <c r="E10" s="53"/>
    </row>
    <row r="11" spans="1:5" x14ac:dyDescent="0.3">
      <c r="A11" s="55" t="s">
        <v>81</v>
      </c>
      <c r="B11" s="55" t="s">
        <v>65</v>
      </c>
      <c r="C11" s="53" t="s">
        <v>14</v>
      </c>
      <c r="D11" s="53" t="s">
        <v>14</v>
      </c>
      <c r="E11" s="53"/>
    </row>
    <row r="12" spans="1:5" x14ac:dyDescent="0.3">
      <c r="A12" s="55" t="s">
        <v>81</v>
      </c>
      <c r="B12" s="55" t="s">
        <v>66</v>
      </c>
      <c r="C12" s="53" t="s">
        <v>51</v>
      </c>
      <c r="D12" s="53" t="s">
        <v>43</v>
      </c>
      <c r="E12" s="53"/>
    </row>
    <row r="13" spans="1:5" x14ac:dyDescent="0.3">
      <c r="A13" s="55" t="s">
        <v>81</v>
      </c>
      <c r="B13" s="55" t="s">
        <v>67</v>
      </c>
      <c r="C13" s="53" t="s">
        <v>175</v>
      </c>
      <c r="D13" s="53" t="s">
        <v>176</v>
      </c>
      <c r="E13" s="53"/>
    </row>
    <row r="14" spans="1:5" x14ac:dyDescent="0.3">
      <c r="A14" s="55" t="s">
        <v>81</v>
      </c>
      <c r="B14" s="55" t="s">
        <v>68</v>
      </c>
      <c r="C14" s="53" t="s">
        <v>52</v>
      </c>
      <c r="D14" s="53" t="s">
        <v>44</v>
      </c>
      <c r="E14" s="53"/>
    </row>
    <row r="15" spans="1:5" x14ac:dyDescent="0.3">
      <c r="A15" s="55" t="s">
        <v>81</v>
      </c>
      <c r="B15" s="55" t="s">
        <v>69</v>
      </c>
      <c r="C15" s="53" t="s">
        <v>1</v>
      </c>
      <c r="D15" s="53" t="s">
        <v>45</v>
      </c>
      <c r="E15" s="53"/>
    </row>
    <row r="16" spans="1:5" x14ac:dyDescent="0.3">
      <c r="A16" s="55" t="s">
        <v>81</v>
      </c>
      <c r="B16" s="55" t="s">
        <v>70</v>
      </c>
      <c r="C16" s="53" t="s">
        <v>10</v>
      </c>
      <c r="D16" s="53" t="s">
        <v>46</v>
      </c>
      <c r="E16" s="53"/>
    </row>
    <row r="17" spans="1:5" x14ac:dyDescent="0.3">
      <c r="A17" s="55" t="s">
        <v>81</v>
      </c>
      <c r="B17" s="55" t="s">
        <v>71</v>
      </c>
      <c r="C17" s="53" t="s">
        <v>9</v>
      </c>
      <c r="D17" s="53" t="s">
        <v>56</v>
      </c>
      <c r="E17" s="53"/>
    </row>
    <row r="18" spans="1:5" x14ac:dyDescent="0.3">
      <c r="A18" s="55"/>
      <c r="B18" s="55"/>
      <c r="C18" s="53"/>
      <c r="D18" s="53"/>
      <c r="E18" s="53"/>
    </row>
    <row r="19" spans="1:5" ht="43.2" x14ac:dyDescent="0.3">
      <c r="A19" s="55" t="s">
        <v>81</v>
      </c>
      <c r="B19" s="55" t="s">
        <v>72</v>
      </c>
      <c r="C19" s="53" t="s">
        <v>73</v>
      </c>
      <c r="D19" s="57" t="s">
        <v>47</v>
      </c>
      <c r="E19" s="53"/>
    </row>
    <row r="20" spans="1:5" x14ac:dyDescent="0.3">
      <c r="A20" s="55" t="s">
        <v>81</v>
      </c>
      <c r="B20" s="55" t="s">
        <v>77</v>
      </c>
      <c r="C20" s="53" t="s">
        <v>74</v>
      </c>
      <c r="D20" s="53" t="s">
        <v>48</v>
      </c>
      <c r="E20" s="53"/>
    </row>
    <row r="21" spans="1:5" x14ac:dyDescent="0.3">
      <c r="A21" s="55" t="s">
        <v>81</v>
      </c>
      <c r="B21" s="55" t="s">
        <v>78</v>
      </c>
      <c r="C21" s="53" t="s">
        <v>75</v>
      </c>
      <c r="D21" s="53" t="s">
        <v>49</v>
      </c>
      <c r="E21" s="53"/>
    </row>
    <row r="22" spans="1:5" x14ac:dyDescent="0.3">
      <c r="A22" s="55" t="s">
        <v>81</v>
      </c>
      <c r="B22" s="55" t="s">
        <v>79</v>
      </c>
      <c r="C22" s="53" t="s">
        <v>76</v>
      </c>
      <c r="D22" s="53" t="s">
        <v>50</v>
      </c>
      <c r="E22" s="53"/>
    </row>
    <row r="23" spans="1:5" x14ac:dyDescent="0.3">
      <c r="A23" s="55" t="s">
        <v>81</v>
      </c>
      <c r="B23" s="55" t="s">
        <v>102</v>
      </c>
      <c r="C23" s="53" t="s">
        <v>33</v>
      </c>
      <c r="D23" s="53" t="s">
        <v>177</v>
      </c>
      <c r="E23" s="53"/>
    </row>
    <row r="24" spans="1:5" x14ac:dyDescent="0.3">
      <c r="A24" s="55"/>
      <c r="B24" s="55"/>
      <c r="C24" s="53"/>
      <c r="D24" s="53"/>
      <c r="E24" s="53"/>
    </row>
    <row r="25" spans="1:5" x14ac:dyDescent="0.3">
      <c r="A25" s="54"/>
      <c r="B25" s="54" t="s">
        <v>89</v>
      </c>
      <c r="C25" s="54"/>
      <c r="D25" s="54"/>
      <c r="E25" s="53"/>
    </row>
    <row r="26" spans="1:5" x14ac:dyDescent="0.3">
      <c r="A26" s="55" t="s">
        <v>82</v>
      </c>
      <c r="B26" s="55" t="s">
        <v>83</v>
      </c>
      <c r="C26" s="53" t="s">
        <v>84</v>
      </c>
      <c r="D26" s="53" t="s">
        <v>87</v>
      </c>
      <c r="E26" s="53"/>
    </row>
    <row r="27" spans="1:5" x14ac:dyDescent="0.3">
      <c r="A27" s="55" t="s">
        <v>82</v>
      </c>
      <c r="B27" s="55" t="s">
        <v>85</v>
      </c>
      <c r="C27" s="53" t="s">
        <v>86</v>
      </c>
      <c r="D27" s="53" t="s">
        <v>88</v>
      </c>
      <c r="E27" s="53"/>
    </row>
    <row r="28" spans="1:5" x14ac:dyDescent="0.3">
      <c r="A28" s="55"/>
      <c r="B28" s="55"/>
      <c r="C28" s="53"/>
      <c r="D28" s="53"/>
      <c r="E28" s="53"/>
    </row>
    <row r="29" spans="1:5" x14ac:dyDescent="0.3">
      <c r="A29" s="54"/>
      <c r="B29" s="54" t="s">
        <v>174</v>
      </c>
      <c r="C29" s="54"/>
      <c r="D29" s="54"/>
      <c r="E29" s="53"/>
    </row>
    <row r="30" spans="1:5" ht="43.2" x14ac:dyDescent="0.3">
      <c r="A30" s="55" t="s">
        <v>90</v>
      </c>
      <c r="B30" s="55" t="s">
        <v>57</v>
      </c>
      <c r="C30" s="57" t="s">
        <v>91</v>
      </c>
      <c r="D30" s="57" t="s">
        <v>110</v>
      </c>
      <c r="E30" s="53"/>
    </row>
    <row r="31" spans="1:5" ht="28.8" x14ac:dyDescent="0.3">
      <c r="A31" s="55" t="s">
        <v>90</v>
      </c>
      <c r="B31" s="55" t="s">
        <v>58</v>
      </c>
      <c r="C31" s="57" t="s">
        <v>92</v>
      </c>
      <c r="D31" s="57" t="s">
        <v>104</v>
      </c>
      <c r="E31" s="53"/>
    </row>
    <row r="32" spans="1:5" ht="43.2" x14ac:dyDescent="0.3">
      <c r="A32" s="55" t="s">
        <v>90</v>
      </c>
      <c r="B32" s="55" t="s">
        <v>59</v>
      </c>
      <c r="C32" s="57" t="s">
        <v>298</v>
      </c>
      <c r="D32" s="57" t="s">
        <v>299</v>
      </c>
      <c r="E32" s="53"/>
    </row>
    <row r="33" spans="1:5" ht="57.6" x14ac:dyDescent="0.3">
      <c r="A33" s="55" t="s">
        <v>90</v>
      </c>
      <c r="B33" s="55" t="s">
        <v>60</v>
      </c>
      <c r="C33" s="57" t="s">
        <v>93</v>
      </c>
      <c r="D33" s="57" t="s">
        <v>109</v>
      </c>
      <c r="E33" s="53"/>
    </row>
    <row r="34" spans="1:5" x14ac:dyDescent="0.3">
      <c r="A34" s="55" t="s">
        <v>90</v>
      </c>
      <c r="B34" s="55" t="s">
        <v>61</v>
      </c>
      <c r="C34" s="53" t="s">
        <v>94</v>
      </c>
      <c r="D34" s="53" t="s">
        <v>105</v>
      </c>
      <c r="E34" s="53"/>
    </row>
    <row r="35" spans="1:5" ht="72" x14ac:dyDescent="0.3">
      <c r="A35" s="55" t="s">
        <v>90</v>
      </c>
      <c r="B35" s="55" t="s">
        <v>62</v>
      </c>
      <c r="C35" s="57" t="s">
        <v>95</v>
      </c>
      <c r="D35" s="57" t="s">
        <v>108</v>
      </c>
      <c r="E35" s="53"/>
    </row>
    <row r="36" spans="1:5" ht="86.4" x14ac:dyDescent="0.3">
      <c r="A36" s="55" t="s">
        <v>90</v>
      </c>
      <c r="B36" s="55" t="s">
        <v>63</v>
      </c>
      <c r="C36" s="57" t="s">
        <v>96</v>
      </c>
      <c r="D36" s="57" t="s">
        <v>107</v>
      </c>
      <c r="E36" s="53"/>
    </row>
    <row r="37" spans="1:5" ht="129.6" x14ac:dyDescent="0.3">
      <c r="A37" s="55" t="s">
        <v>90</v>
      </c>
      <c r="B37" s="55" t="s">
        <v>64</v>
      </c>
      <c r="C37" s="57" t="s">
        <v>97</v>
      </c>
      <c r="D37" s="57" t="s">
        <v>106</v>
      </c>
      <c r="E37" s="53"/>
    </row>
    <row r="38" spans="1:5" ht="316.8" x14ac:dyDescent="0.3">
      <c r="A38" s="53" t="s">
        <v>90</v>
      </c>
      <c r="B38" s="55" t="s">
        <v>65</v>
      </c>
      <c r="C38" s="57" t="s">
        <v>103</v>
      </c>
      <c r="D38" s="58" t="s">
        <v>111</v>
      </c>
      <c r="E38" s="53"/>
    </row>
    <row r="39" spans="1:5" ht="216" x14ac:dyDescent="0.3">
      <c r="A39" s="53" t="s">
        <v>90</v>
      </c>
      <c r="B39" s="55" t="s">
        <v>64</v>
      </c>
      <c r="C39" s="57" t="s">
        <v>98</v>
      </c>
      <c r="D39" s="57" t="s">
        <v>112</v>
      </c>
      <c r="E39" s="53"/>
    </row>
    <row r="40" spans="1:5" x14ac:dyDescent="0.3">
      <c r="A40" s="53" t="s">
        <v>90</v>
      </c>
      <c r="B40" s="55" t="s">
        <v>67</v>
      </c>
      <c r="C40" s="53" t="s">
        <v>99</v>
      </c>
      <c r="D40" s="53" t="s">
        <v>113</v>
      </c>
      <c r="E40" s="53"/>
    </row>
    <row r="41" spans="1:5" ht="244.8" x14ac:dyDescent="0.3">
      <c r="A41" s="53" t="s">
        <v>90</v>
      </c>
      <c r="B41" s="55" t="s">
        <v>68</v>
      </c>
      <c r="C41" s="57" t="s">
        <v>115</v>
      </c>
      <c r="D41" s="57" t="s">
        <v>114</v>
      </c>
      <c r="E41" s="53"/>
    </row>
    <row r="42" spans="1:5" x14ac:dyDescent="0.3">
      <c r="A42" s="53" t="s">
        <v>90</v>
      </c>
      <c r="B42" s="55" t="s">
        <v>69</v>
      </c>
      <c r="C42" s="53" t="s">
        <v>100</v>
      </c>
      <c r="D42" s="53" t="s">
        <v>116</v>
      </c>
      <c r="E42" s="53"/>
    </row>
    <row r="43" spans="1:5" ht="316.8" x14ac:dyDescent="0.3">
      <c r="A43" s="53" t="s">
        <v>90</v>
      </c>
      <c r="B43" s="55" t="s">
        <v>102</v>
      </c>
      <c r="C43" s="57" t="s">
        <v>101</v>
      </c>
      <c r="D43" s="57" t="s">
        <v>117</v>
      </c>
      <c r="E43" s="53"/>
    </row>
    <row r="44" spans="1:5" x14ac:dyDescent="0.3">
      <c r="A44" s="53"/>
      <c r="B44" s="55"/>
      <c r="C44" s="57"/>
      <c r="D44" s="57"/>
      <c r="E44" s="53"/>
    </row>
    <row r="45" spans="1:5" x14ac:dyDescent="0.3">
      <c r="A45" s="54"/>
      <c r="B45" s="54"/>
      <c r="C45" s="54"/>
      <c r="D45" s="54"/>
      <c r="E45" s="53"/>
    </row>
    <row r="46" spans="1:5" x14ac:dyDescent="0.3">
      <c r="A46" s="55" t="s">
        <v>81</v>
      </c>
      <c r="B46" s="55" t="s">
        <v>125</v>
      </c>
      <c r="C46" s="59" t="s">
        <v>137</v>
      </c>
      <c r="D46" s="59" t="s">
        <v>133</v>
      </c>
    </row>
    <row r="47" spans="1:5" x14ac:dyDescent="0.3">
      <c r="A47" s="55" t="s">
        <v>81</v>
      </c>
      <c r="B47" s="55" t="s">
        <v>118</v>
      </c>
      <c r="C47" s="59" t="s">
        <v>126</v>
      </c>
      <c r="D47" s="59" t="s">
        <v>134</v>
      </c>
    </row>
    <row r="48" spans="1:5" x14ac:dyDescent="0.3">
      <c r="A48" s="55" t="s">
        <v>81</v>
      </c>
      <c r="B48" s="55" t="s">
        <v>119</v>
      </c>
      <c r="C48" s="59" t="s">
        <v>127</v>
      </c>
      <c r="D48" s="59" t="s">
        <v>135</v>
      </c>
    </row>
    <row r="49" spans="1:4" x14ac:dyDescent="0.3">
      <c r="A49" s="55" t="s">
        <v>81</v>
      </c>
      <c r="B49" s="55" t="s">
        <v>120</v>
      </c>
      <c r="C49" s="59" t="s">
        <v>128</v>
      </c>
      <c r="D49" s="59" t="s">
        <v>136</v>
      </c>
    </row>
    <row r="50" spans="1:4" x14ac:dyDescent="0.3">
      <c r="A50" s="55" t="s">
        <v>81</v>
      </c>
      <c r="B50" s="55" t="s">
        <v>121</v>
      </c>
      <c r="C50" s="59" t="s">
        <v>132</v>
      </c>
      <c r="D50" s="59" t="s">
        <v>141</v>
      </c>
    </row>
    <row r="51" spans="1:4" x14ac:dyDescent="0.3">
      <c r="A51" s="55" t="s">
        <v>81</v>
      </c>
      <c r="B51" s="55" t="s">
        <v>122</v>
      </c>
      <c r="C51" s="59" t="s">
        <v>129</v>
      </c>
      <c r="D51" s="59" t="s">
        <v>138</v>
      </c>
    </row>
    <row r="52" spans="1:4" x14ac:dyDescent="0.3">
      <c r="A52" s="55" t="s">
        <v>81</v>
      </c>
      <c r="B52" s="55" t="s">
        <v>123</v>
      </c>
      <c r="C52" s="59" t="s">
        <v>130</v>
      </c>
      <c r="D52" s="59" t="s">
        <v>139</v>
      </c>
    </row>
    <row r="53" spans="1:4" x14ac:dyDescent="0.3">
      <c r="A53" s="55" t="s">
        <v>81</v>
      </c>
      <c r="B53" s="55" t="s">
        <v>124</v>
      </c>
      <c r="C53" s="59" t="s">
        <v>131</v>
      </c>
      <c r="D53" s="59" t="s">
        <v>140</v>
      </c>
    </row>
    <row r="54" spans="1:4" x14ac:dyDescent="0.3">
      <c r="A54" s="55" t="s">
        <v>81</v>
      </c>
      <c r="B54" s="55" t="s">
        <v>243</v>
      </c>
      <c r="C54" s="59" t="s">
        <v>241</v>
      </c>
      <c r="D54" s="59" t="s">
        <v>242</v>
      </c>
    </row>
    <row r="55" spans="1:4" x14ac:dyDescent="0.3">
      <c r="A55" s="55" t="s">
        <v>81</v>
      </c>
      <c r="B55" s="55" t="s">
        <v>249</v>
      </c>
      <c r="C55" s="59" t="s">
        <v>248</v>
      </c>
      <c r="D55" s="59" t="s">
        <v>250</v>
      </c>
    </row>
    <row r="56" spans="1:4" x14ac:dyDescent="0.3">
      <c r="A56" s="55" t="s">
        <v>142</v>
      </c>
      <c r="B56" s="55" t="s">
        <v>143</v>
      </c>
      <c r="C56" t="s">
        <v>144</v>
      </c>
      <c r="D56" t="s">
        <v>145</v>
      </c>
    </row>
    <row r="57" spans="1:4" x14ac:dyDescent="0.3">
      <c r="B57" s="55"/>
    </row>
    <row r="58" spans="1:4" x14ac:dyDescent="0.3">
      <c r="A58" s="54"/>
      <c r="B58" s="54"/>
      <c r="C58" s="54"/>
      <c r="D58" s="54"/>
    </row>
    <row r="59" spans="1:4" ht="57.6" x14ac:dyDescent="0.3">
      <c r="A59" s="55" t="s">
        <v>173</v>
      </c>
      <c r="B59" s="55" t="s">
        <v>147</v>
      </c>
      <c r="C59" s="60" t="s">
        <v>149</v>
      </c>
      <c r="D59" s="60" t="s">
        <v>165</v>
      </c>
    </row>
    <row r="60" spans="1:4" x14ac:dyDescent="0.3">
      <c r="A60" s="55" t="s">
        <v>173</v>
      </c>
      <c r="B60" s="55" t="s">
        <v>146</v>
      </c>
      <c r="C60" s="61" t="s">
        <v>148</v>
      </c>
      <c r="D60" s="61" t="s">
        <v>166</v>
      </c>
    </row>
    <row r="61" spans="1:4" x14ac:dyDescent="0.3">
      <c r="A61" s="55" t="s">
        <v>173</v>
      </c>
      <c r="B61" s="55" t="s">
        <v>156</v>
      </c>
      <c r="C61" s="61" t="s">
        <v>150</v>
      </c>
      <c r="D61" s="61" t="s">
        <v>167</v>
      </c>
    </row>
    <row r="62" spans="1:4" x14ac:dyDescent="0.3">
      <c r="A62" s="55" t="s">
        <v>173</v>
      </c>
      <c r="B62" s="55" t="s">
        <v>157</v>
      </c>
      <c r="C62" s="61" t="s">
        <v>151</v>
      </c>
      <c r="D62" s="61" t="s">
        <v>168</v>
      </c>
    </row>
    <row r="63" spans="1:4" x14ac:dyDescent="0.3">
      <c r="A63" s="55" t="s">
        <v>173</v>
      </c>
      <c r="B63" s="55" t="s">
        <v>158</v>
      </c>
      <c r="C63" s="61" t="s">
        <v>152</v>
      </c>
      <c r="D63" s="61" t="s">
        <v>169</v>
      </c>
    </row>
    <row r="64" spans="1:4" x14ac:dyDescent="0.3">
      <c r="A64" s="55" t="s">
        <v>173</v>
      </c>
      <c r="B64" s="55" t="s">
        <v>159</v>
      </c>
      <c r="C64" s="61" t="s">
        <v>153</v>
      </c>
      <c r="D64" s="53" t="s">
        <v>172</v>
      </c>
    </row>
    <row r="65" spans="1:4" x14ac:dyDescent="0.3">
      <c r="A65" s="55" t="s">
        <v>173</v>
      </c>
      <c r="B65" s="55" t="s">
        <v>160</v>
      </c>
      <c r="C65" s="61" t="s">
        <v>154</v>
      </c>
      <c r="D65" s="53" t="s">
        <v>171</v>
      </c>
    </row>
    <row r="66" spans="1:4" x14ac:dyDescent="0.3">
      <c r="A66" s="55" t="s">
        <v>173</v>
      </c>
      <c r="B66" s="55" t="s">
        <v>161</v>
      </c>
      <c r="C66" s="61" t="s">
        <v>155</v>
      </c>
      <c r="D66" s="53" t="s">
        <v>170</v>
      </c>
    </row>
    <row r="67" spans="1:4" x14ac:dyDescent="0.3">
      <c r="A67" s="55"/>
      <c r="B67" s="55"/>
      <c r="C67" s="61"/>
      <c r="D67" s="53"/>
    </row>
    <row r="68" spans="1:4" x14ac:dyDescent="0.3">
      <c r="A68" s="54"/>
      <c r="B68" s="54"/>
      <c r="C68" s="54"/>
      <c r="D68" s="54"/>
    </row>
    <row r="69" spans="1:4" x14ac:dyDescent="0.3">
      <c r="A69" s="55" t="s">
        <v>162</v>
      </c>
      <c r="B69" s="55" t="s">
        <v>147</v>
      </c>
      <c r="C69" s="61" t="s">
        <v>163</v>
      </c>
      <c r="D69" s="61" t="s">
        <v>164</v>
      </c>
    </row>
    <row r="70" spans="1:4" x14ac:dyDescent="0.3">
      <c r="A70" s="55" t="s">
        <v>162</v>
      </c>
      <c r="B70" s="55" t="s">
        <v>146</v>
      </c>
      <c r="C70" s="61" t="s">
        <v>163</v>
      </c>
      <c r="D70" s="61" t="s">
        <v>164</v>
      </c>
    </row>
    <row r="71" spans="1:4" x14ac:dyDescent="0.3">
      <c r="A71" s="55" t="s">
        <v>162</v>
      </c>
      <c r="B71" s="55" t="s">
        <v>156</v>
      </c>
      <c r="C71" s="61" t="s">
        <v>163</v>
      </c>
      <c r="D71" s="61" t="s">
        <v>164</v>
      </c>
    </row>
    <row r="72" spans="1:4" x14ac:dyDescent="0.3">
      <c r="A72" s="55" t="s">
        <v>162</v>
      </c>
      <c r="B72" s="55" t="s">
        <v>157</v>
      </c>
      <c r="C72" s="61" t="s">
        <v>163</v>
      </c>
      <c r="D72" s="61" t="s">
        <v>164</v>
      </c>
    </row>
    <row r="73" spans="1:4" x14ac:dyDescent="0.3">
      <c r="A73" s="55" t="s">
        <v>162</v>
      </c>
      <c r="B73" s="55" t="s">
        <v>158</v>
      </c>
      <c r="C73" s="61" t="s">
        <v>163</v>
      </c>
      <c r="D73" s="61" t="s">
        <v>164</v>
      </c>
    </row>
    <row r="74" spans="1:4" x14ac:dyDescent="0.3">
      <c r="A74" s="55" t="s">
        <v>162</v>
      </c>
      <c r="B74" s="55" t="s">
        <v>159</v>
      </c>
      <c r="C74" s="61" t="s">
        <v>163</v>
      </c>
      <c r="D74" s="61" t="s">
        <v>164</v>
      </c>
    </row>
    <row r="75" spans="1:4" x14ac:dyDescent="0.3">
      <c r="A75" s="55" t="s">
        <v>162</v>
      </c>
      <c r="B75" s="55" t="s">
        <v>160</v>
      </c>
      <c r="C75" s="61" t="s">
        <v>163</v>
      </c>
      <c r="D75" s="61" t="s">
        <v>164</v>
      </c>
    </row>
    <row r="76" spans="1:4" x14ac:dyDescent="0.3">
      <c r="A76" s="55" t="s">
        <v>162</v>
      </c>
      <c r="B76" s="55" t="s">
        <v>161</v>
      </c>
      <c r="C76" s="61" t="s">
        <v>163</v>
      </c>
      <c r="D76" s="61" t="s">
        <v>164</v>
      </c>
    </row>
    <row r="77" spans="1:4" x14ac:dyDescent="0.3">
      <c r="A77" s="55"/>
      <c r="B77" s="55"/>
      <c r="D77" s="53"/>
    </row>
    <row r="78" spans="1:4" x14ac:dyDescent="0.3">
      <c r="A78" s="54"/>
      <c r="B78" s="63"/>
      <c r="C78" s="54"/>
      <c r="D78" s="54"/>
    </row>
    <row r="79" spans="1:4" x14ac:dyDescent="0.3">
      <c r="A79" s="55" t="s">
        <v>178</v>
      </c>
      <c r="B79" s="55"/>
      <c r="C79" t="s">
        <v>179</v>
      </c>
      <c r="D79" t="s">
        <v>180</v>
      </c>
    </row>
    <row r="80" spans="1:4" x14ac:dyDescent="0.3">
      <c r="A80" s="55" t="s">
        <v>178</v>
      </c>
      <c r="B80" s="55"/>
      <c r="C80" t="s">
        <v>181</v>
      </c>
      <c r="D80" t="s">
        <v>182</v>
      </c>
    </row>
    <row r="81" spans="1:4" x14ac:dyDescent="0.3">
      <c r="A81" s="55" t="s">
        <v>178</v>
      </c>
      <c r="C81" t="s">
        <v>183</v>
      </c>
      <c r="D81" t="s">
        <v>184</v>
      </c>
    </row>
    <row r="82" spans="1:4" x14ac:dyDescent="0.3">
      <c r="A82" s="55" t="s">
        <v>178</v>
      </c>
      <c r="C82" t="s">
        <v>185</v>
      </c>
      <c r="D82" t="s">
        <v>186</v>
      </c>
    </row>
    <row r="83" spans="1:4" x14ac:dyDescent="0.3">
      <c r="A83" s="55" t="s">
        <v>178</v>
      </c>
      <c r="C83" t="s">
        <v>187</v>
      </c>
      <c r="D83" t="s">
        <v>188</v>
      </c>
    </row>
    <row r="84" spans="1:4" x14ac:dyDescent="0.3">
      <c r="A84" s="55" t="s">
        <v>178</v>
      </c>
      <c r="C84" t="s">
        <v>189</v>
      </c>
      <c r="D84" t="s">
        <v>190</v>
      </c>
    </row>
    <row r="85" spans="1:4" x14ac:dyDescent="0.3">
      <c r="A85" s="55" t="s">
        <v>178</v>
      </c>
      <c r="C85" s="62" t="s">
        <v>191</v>
      </c>
      <c r="D85" s="62" t="s">
        <v>192</v>
      </c>
    </row>
    <row r="86" spans="1:4" x14ac:dyDescent="0.3">
      <c r="A86" s="55" t="s">
        <v>178</v>
      </c>
      <c r="C86" t="s">
        <v>194</v>
      </c>
      <c r="D86" t="s">
        <v>193</v>
      </c>
    </row>
    <row r="87" spans="1:4" x14ac:dyDescent="0.3">
      <c r="A87" s="55" t="s">
        <v>178</v>
      </c>
      <c r="C87" t="s">
        <v>196</v>
      </c>
      <c r="D87" t="s">
        <v>195</v>
      </c>
    </row>
    <row r="88" spans="1:4" x14ac:dyDescent="0.3">
      <c r="A88" s="55" t="s">
        <v>178</v>
      </c>
      <c r="C88" t="s">
        <v>198</v>
      </c>
      <c r="D88" t="s">
        <v>197</v>
      </c>
    </row>
    <row r="89" spans="1:4" x14ac:dyDescent="0.3">
      <c r="A89" s="55" t="s">
        <v>178</v>
      </c>
      <c r="C89" t="s">
        <v>199</v>
      </c>
      <c r="D89" t="s">
        <v>200</v>
      </c>
    </row>
    <row r="90" spans="1:4" x14ac:dyDescent="0.3">
      <c r="A90" s="55" t="s">
        <v>178</v>
      </c>
      <c r="C90" t="s">
        <v>201</v>
      </c>
      <c r="D90" t="s">
        <v>202</v>
      </c>
    </row>
    <row r="91" spans="1:4" x14ac:dyDescent="0.3">
      <c r="A91" s="55" t="s">
        <v>178</v>
      </c>
      <c r="C91" t="s">
        <v>203</v>
      </c>
      <c r="D91" t="s">
        <v>204</v>
      </c>
    </row>
    <row r="92" spans="1:4" x14ac:dyDescent="0.3">
      <c r="A92" s="55" t="s">
        <v>178</v>
      </c>
      <c r="C92" t="s">
        <v>301</v>
      </c>
      <c r="D92" t="s">
        <v>302</v>
      </c>
    </row>
    <row r="93" spans="1:4" x14ac:dyDescent="0.3">
      <c r="A93" s="55" t="s">
        <v>178</v>
      </c>
      <c r="C93" t="s">
        <v>205</v>
      </c>
      <c r="D93" t="s">
        <v>206</v>
      </c>
    </row>
    <row r="94" spans="1:4" x14ac:dyDescent="0.3">
      <c r="A94" s="55" t="s">
        <v>178</v>
      </c>
      <c r="C94" t="s">
        <v>207</v>
      </c>
      <c r="D94" t="s">
        <v>208</v>
      </c>
    </row>
    <row r="95" spans="1:4" x14ac:dyDescent="0.3">
      <c r="A95" s="55" t="s">
        <v>178</v>
      </c>
      <c r="C95" t="s">
        <v>209</v>
      </c>
      <c r="D95" t="s">
        <v>210</v>
      </c>
    </row>
    <row r="96" spans="1:4" x14ac:dyDescent="0.3">
      <c r="A96" s="55" t="s">
        <v>178</v>
      </c>
      <c r="C96" t="s">
        <v>207</v>
      </c>
      <c r="D96" t="s">
        <v>211</v>
      </c>
    </row>
    <row r="97" spans="1:4" ht="409.6" x14ac:dyDescent="0.3">
      <c r="A97" s="55" t="s">
        <v>178</v>
      </c>
      <c r="B97" s="53" t="s">
        <v>213</v>
      </c>
      <c r="C97" s="57" t="s">
        <v>212</v>
      </c>
      <c r="D97" s="57" t="s">
        <v>214</v>
      </c>
    </row>
    <row r="98" spans="1:4" x14ac:dyDescent="0.3">
      <c r="A98" s="55" t="s">
        <v>178</v>
      </c>
      <c r="B98" s="53"/>
      <c r="C98" s="53" t="s">
        <v>216</v>
      </c>
      <c r="D98" s="53" t="s">
        <v>215</v>
      </c>
    </row>
    <row r="99" spans="1:4" x14ac:dyDescent="0.3">
      <c r="A99" s="55" t="s">
        <v>178</v>
      </c>
      <c r="B99" s="53"/>
      <c r="C99" s="53" t="s">
        <v>218</v>
      </c>
      <c r="D99" s="53" t="s">
        <v>217</v>
      </c>
    </row>
    <row r="100" spans="1:4" x14ac:dyDescent="0.3">
      <c r="A100" s="55" t="s">
        <v>178</v>
      </c>
      <c r="B100" s="53"/>
      <c r="C100" s="53" t="s">
        <v>219</v>
      </c>
      <c r="D100" s="53" t="s">
        <v>220</v>
      </c>
    </row>
    <row r="101" spans="1:4" ht="43.2" x14ac:dyDescent="0.3">
      <c r="A101" s="55" t="s">
        <v>178</v>
      </c>
      <c r="B101" s="53" t="s">
        <v>222</v>
      </c>
      <c r="C101" s="57" t="s">
        <v>225</v>
      </c>
      <c r="D101" s="57" t="s">
        <v>221</v>
      </c>
    </row>
    <row r="102" spans="1:4" x14ac:dyDescent="0.3">
      <c r="A102" s="55" t="s">
        <v>178</v>
      </c>
      <c r="C102" s="57" t="s">
        <v>224</v>
      </c>
      <c r="D102" s="57" t="s">
        <v>223</v>
      </c>
    </row>
    <row r="103" spans="1:4" x14ac:dyDescent="0.3">
      <c r="A103" s="55" t="s">
        <v>178</v>
      </c>
      <c r="C103" s="57" t="s">
        <v>226</v>
      </c>
      <c r="D103" s="57" t="s">
        <v>226</v>
      </c>
    </row>
    <row r="104" spans="1:4" x14ac:dyDescent="0.3">
      <c r="A104" s="55" t="s">
        <v>178</v>
      </c>
      <c r="C104" s="57" t="s">
        <v>228</v>
      </c>
      <c r="D104" s="57" t="s">
        <v>227</v>
      </c>
    </row>
    <row r="105" spans="1:4" x14ac:dyDescent="0.3">
      <c r="A105" s="55" t="s">
        <v>178</v>
      </c>
      <c r="C105" s="57" t="s">
        <v>230</v>
      </c>
      <c r="D105" s="57" t="s">
        <v>229</v>
      </c>
    </row>
    <row r="106" spans="1:4" x14ac:dyDescent="0.3">
      <c r="A106" s="55" t="s">
        <v>178</v>
      </c>
      <c r="C106" s="57" t="s">
        <v>232</v>
      </c>
      <c r="D106" s="57" t="s">
        <v>231</v>
      </c>
    </row>
    <row r="107" spans="1:4" x14ac:dyDescent="0.3">
      <c r="A107" s="55" t="s">
        <v>178</v>
      </c>
      <c r="C107" s="57" t="s">
        <v>246</v>
      </c>
      <c r="D107" s="57" t="s">
        <v>247</v>
      </c>
    </row>
    <row r="108" spans="1:4" x14ac:dyDescent="0.3">
      <c r="A108" s="55"/>
      <c r="C108" s="57" t="s">
        <v>245</v>
      </c>
      <c r="D108" s="57" t="s">
        <v>244</v>
      </c>
    </row>
    <row r="109" spans="1:4" x14ac:dyDescent="0.3">
      <c r="A109" s="55" t="s">
        <v>178</v>
      </c>
      <c r="C109" s="57" t="s">
        <v>234</v>
      </c>
      <c r="D109" s="57" t="s">
        <v>233</v>
      </c>
    </row>
    <row r="110" spans="1:4" x14ac:dyDescent="0.3">
      <c r="A110" s="55" t="s">
        <v>178</v>
      </c>
      <c r="C110" s="57" t="s">
        <v>236</v>
      </c>
      <c r="D110" s="57" t="s">
        <v>235</v>
      </c>
    </row>
    <row r="111" spans="1:4" x14ac:dyDescent="0.3">
      <c r="A111" s="55" t="s">
        <v>178</v>
      </c>
      <c r="C111" s="57" t="s">
        <v>238</v>
      </c>
      <c r="D111" s="57" t="s">
        <v>237</v>
      </c>
    </row>
    <row r="112" spans="1:4" x14ac:dyDescent="0.3">
      <c r="A112" s="55" t="s">
        <v>178</v>
      </c>
      <c r="C112" s="57" t="s">
        <v>240</v>
      </c>
      <c r="D112" s="57" t="s">
        <v>239</v>
      </c>
    </row>
    <row r="113" spans="1:4" x14ac:dyDescent="0.3">
      <c r="A113" s="55" t="s">
        <v>178</v>
      </c>
      <c r="C113" t="s">
        <v>251</v>
      </c>
      <c r="D113" s="57" t="s">
        <v>252</v>
      </c>
    </row>
    <row r="114" spans="1:4" x14ac:dyDescent="0.3">
      <c r="A114" s="55" t="s">
        <v>178</v>
      </c>
      <c r="C114" t="s">
        <v>254</v>
      </c>
      <c r="D114" s="57" t="s">
        <v>253</v>
      </c>
    </row>
    <row r="115" spans="1:4" x14ac:dyDescent="0.3">
      <c r="A115" s="55" t="s">
        <v>178</v>
      </c>
      <c r="C115" t="s">
        <v>255</v>
      </c>
      <c r="D115" s="57" t="s">
        <v>256</v>
      </c>
    </row>
    <row r="117" spans="1:4" x14ac:dyDescent="0.3">
      <c r="A117" s="55" t="s">
        <v>272</v>
      </c>
      <c r="C117" t="s">
        <v>257</v>
      </c>
      <c r="D117" t="s">
        <v>273</v>
      </c>
    </row>
    <row r="118" spans="1:4" x14ac:dyDescent="0.3">
      <c r="A118" s="55" t="s">
        <v>272</v>
      </c>
      <c r="C118" t="s">
        <v>258</v>
      </c>
      <c r="D118" t="s">
        <v>274</v>
      </c>
    </row>
    <row r="119" spans="1:4" x14ac:dyDescent="0.3">
      <c r="A119" s="55" t="s">
        <v>272</v>
      </c>
      <c r="C119" t="s">
        <v>259</v>
      </c>
      <c r="D119" t="s">
        <v>275</v>
      </c>
    </row>
    <row r="120" spans="1:4" ht="43.2" x14ac:dyDescent="0.3">
      <c r="A120" s="55" t="s">
        <v>272</v>
      </c>
      <c r="C120" s="65" t="s">
        <v>290</v>
      </c>
      <c r="D120" s="57" t="s">
        <v>291</v>
      </c>
    </row>
    <row r="121" spans="1:4" ht="28.8" x14ac:dyDescent="0.3">
      <c r="A121" s="55" t="s">
        <v>272</v>
      </c>
      <c r="C121" t="s">
        <v>260</v>
      </c>
      <c r="D121" s="65" t="s">
        <v>276</v>
      </c>
    </row>
    <row r="122" spans="1:4" x14ac:dyDescent="0.3">
      <c r="A122" s="55" t="s">
        <v>272</v>
      </c>
      <c r="C122" t="s">
        <v>261</v>
      </c>
      <c r="D122" s="65" t="s">
        <v>277</v>
      </c>
    </row>
    <row r="123" spans="1:4" ht="43.2" x14ac:dyDescent="0.3">
      <c r="A123" s="55" t="s">
        <v>272</v>
      </c>
      <c r="C123" s="65" t="s">
        <v>292</v>
      </c>
      <c r="D123" s="57" t="s">
        <v>293</v>
      </c>
    </row>
    <row r="124" spans="1:4" x14ac:dyDescent="0.3">
      <c r="A124" s="55" t="s">
        <v>272</v>
      </c>
      <c r="C124" t="s">
        <v>262</v>
      </c>
      <c r="D124" s="57" t="s">
        <v>278</v>
      </c>
    </row>
    <row r="125" spans="1:4" x14ac:dyDescent="0.3">
      <c r="A125" s="55" t="s">
        <v>272</v>
      </c>
      <c r="C125" t="s">
        <v>263</v>
      </c>
      <c r="D125" s="57" t="s">
        <v>279</v>
      </c>
    </row>
    <row r="126" spans="1:4" x14ac:dyDescent="0.3">
      <c r="A126" s="55" t="s">
        <v>272</v>
      </c>
      <c r="C126" t="s">
        <v>264</v>
      </c>
      <c r="D126" s="57" t="s">
        <v>280</v>
      </c>
    </row>
    <row r="127" spans="1:4" x14ac:dyDescent="0.3">
      <c r="A127" s="55" t="s">
        <v>272</v>
      </c>
      <c r="C127" t="s">
        <v>265</v>
      </c>
      <c r="D127" s="57" t="s">
        <v>281</v>
      </c>
    </row>
    <row r="128" spans="1:4" x14ac:dyDescent="0.3">
      <c r="A128" s="55" t="s">
        <v>272</v>
      </c>
      <c r="C128" t="s">
        <v>266</v>
      </c>
      <c r="D128" s="57" t="s">
        <v>282</v>
      </c>
    </row>
    <row r="129" spans="1:4" x14ac:dyDescent="0.3">
      <c r="A129" s="55" t="s">
        <v>272</v>
      </c>
      <c r="C129" t="s">
        <v>267</v>
      </c>
      <c r="D129" s="57" t="s">
        <v>285</v>
      </c>
    </row>
    <row r="130" spans="1:4" x14ac:dyDescent="0.3">
      <c r="A130" s="55" t="s">
        <v>272</v>
      </c>
      <c r="C130" t="s">
        <v>268</v>
      </c>
      <c r="D130" s="57" t="s">
        <v>283</v>
      </c>
    </row>
    <row r="131" spans="1:4" x14ac:dyDescent="0.3">
      <c r="A131" s="55" t="s">
        <v>272</v>
      </c>
      <c r="C131" t="s">
        <v>269</v>
      </c>
      <c r="D131" s="57" t="s">
        <v>284</v>
      </c>
    </row>
    <row r="132" spans="1:4" x14ac:dyDescent="0.3">
      <c r="A132" s="55" t="s">
        <v>272</v>
      </c>
      <c r="C132" t="s">
        <v>270</v>
      </c>
      <c r="D132" s="57" t="s">
        <v>286</v>
      </c>
    </row>
    <row r="133" spans="1:4" x14ac:dyDescent="0.3">
      <c r="A133" s="55" t="s">
        <v>272</v>
      </c>
      <c r="C133" t="s">
        <v>271</v>
      </c>
      <c r="D133" s="57" t="s">
        <v>287</v>
      </c>
    </row>
    <row r="134" spans="1:4" x14ac:dyDescent="0.3">
      <c r="A134" s="55" t="s">
        <v>272</v>
      </c>
      <c r="C134" t="s">
        <v>289</v>
      </c>
      <c r="D134" s="57" t="s">
        <v>288</v>
      </c>
    </row>
    <row r="135" spans="1:4" x14ac:dyDescent="0.3">
      <c r="A135" s="55" t="s">
        <v>272</v>
      </c>
      <c r="C135" t="s">
        <v>294</v>
      </c>
      <c r="D135" t="s">
        <v>295</v>
      </c>
    </row>
    <row r="136" spans="1:4" x14ac:dyDescent="0.3">
      <c r="A136" s="55" t="s">
        <v>272</v>
      </c>
      <c r="C136" t="s">
        <v>296</v>
      </c>
      <c r="D136" t="s">
        <v>297</v>
      </c>
    </row>
  </sheetData>
  <hyperlinks>
    <hyperlink ref="C85" r:id="rId1" xr:uid="{00000000-0004-0000-0100-000000000000}"/>
    <hyperlink ref="D85" r:id="rId2" xr:uid="{00000000-0004-0000-0100-000001000000}"/>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32</vt:i4>
      </vt:variant>
    </vt:vector>
  </HeadingPairs>
  <TitlesOfParts>
    <vt:vector size="34" baseType="lpstr">
      <vt:lpstr>Main</vt:lpstr>
      <vt:lpstr>Languages</vt:lpstr>
      <vt:lpstr>Analog</vt:lpstr>
      <vt:lpstr>Analoges_Überblenden</vt:lpstr>
      <vt:lpstr>AnalogUeberbl</vt:lpstr>
      <vt:lpstr>Bits_pro_Wert</vt:lpstr>
      <vt:lpstr>Main!DataBytes</vt:lpstr>
      <vt:lpstr>Ende</vt:lpstr>
      <vt:lpstr>ErsteRGBLED</vt:lpstr>
      <vt:lpstr>FreeBits</vt:lpstr>
      <vt:lpstr>FreeBits_BpC</vt:lpstr>
      <vt:lpstr>Goto_Bytes</vt:lpstr>
      <vt:lpstr>Goto_Mode</vt:lpstr>
      <vt:lpstr>Grafische_Anzeige</vt:lpstr>
      <vt:lpstr>InChStr</vt:lpstr>
      <vt:lpstr>InNrStr</vt:lpstr>
      <vt:lpstr>InNrStr2</vt:lpstr>
      <vt:lpstr>InputCh</vt:lpstr>
      <vt:lpstr>Kanaele</vt:lpstr>
      <vt:lpstr>Makro_Name</vt:lpstr>
      <vt:lpstr>Mode</vt:lpstr>
      <vt:lpstr>Pattern_Bytes</vt:lpstr>
      <vt:lpstr>Pattern_u_FreeBits</vt:lpstr>
      <vt:lpstr>SchalterNr</vt:lpstr>
      <vt:lpstr>ShalterNr</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2019-10-29T22:57:04Z</dcterms:modified>
</cp:coreProperties>
</file>