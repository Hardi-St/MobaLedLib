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8BCF6FAE-CBE6-4C40-857E-EECA65674EAA}" xr6:coauthVersionLast="43" xr6:coauthVersionMax="43" xr10:uidLastSave="{00000000-0000-0000-0000-000000000000}"/>
  <bookViews>
    <workbookView xWindow="828" yWindow="-108" windowWidth="22320" windowHeight="13176" tabRatio="881" xr2:uid="{00000000-000D-0000-FFFF-FFFF00000000}"/>
  </bookViews>
  <sheets>
    <sheet name="Main" sheetId="11" r:id="rId1"/>
    <sheet name="Languages" sheetId="73" state="hidden" r:id="rId2"/>
  </sheets>
  <functionGroups builtInGroupCount="19"/>
  <definedNames>
    <definedName name="Analog">Main!$E$28</definedName>
    <definedName name="Analoges_Überblenden">Main!$E$11</definedName>
    <definedName name="AnalogUeberbl">Main!$E$11</definedName>
    <definedName name="Bits_pro_Wert">Main!$E$6</definedName>
    <definedName name="DataBytes" localSheetId="0">Main!$K$39</definedName>
    <definedName name="Ende">Main!$E$37</definedName>
    <definedName name="ErsteRGBLED">Main!$E$2</definedName>
    <definedName name="FreeBits">Main!$E$34</definedName>
    <definedName name="FreeBits_BpC">Main!$E$32</definedName>
    <definedName name="Goto_Bytes">Main!$E$36</definedName>
    <definedName name="Goto_Mode">Main!$E$12</definedName>
    <definedName name="Grafische_Anzeige">Main!$E$13</definedName>
    <definedName name="HP0">#REF!</definedName>
    <definedName name="InChStr">Main!$H$30</definedName>
    <definedName name="InNrStr">Main!$H$30</definedName>
    <definedName name="InNrStr2">Main!$J$30</definedName>
    <definedName name="InputCh">Main!$E$30</definedName>
    <definedName name="Kanaele">Main!$E$5</definedName>
    <definedName name="Makro_Name">Main!$E$17</definedName>
    <definedName name="Mode">Main!$E$10</definedName>
    <definedName name="Pattern_Bytes">Main!$E$35</definedName>
    <definedName name="Pattern_u_FreeBits">Main!$E$33</definedName>
    <definedName name="SchalterNr">Main!$E$4</definedName>
    <definedName name="ShalterNr">Main!$E$4</definedName>
    <definedName name="Start">Main!$E$29</definedName>
    <definedName name="Startkanal">Main!$E$3</definedName>
    <definedName name="StCh_FreeBits_BpC">Main!$E$31</definedName>
    <definedName name="TimerBytes" localSheetId="0">Main!$H$39</definedName>
    <definedName name="Wert_ausgeschaltet">Main!$E$9</definedName>
    <definedName name="Wert_Min">Main!$E$7</definedName>
    <definedName name="Wert0">Main!$E$7</definedName>
    <definedName name="WertMax">Main!$E$8</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3" i="11" l="1"/>
  <c r="F9" i="11"/>
  <c r="F8" i="11"/>
  <c r="F7" i="11"/>
  <c r="F6" i="11"/>
  <c r="F5" i="11"/>
  <c r="F4" i="11"/>
  <c r="F3" i="11"/>
  <c r="F2" i="11"/>
  <c r="J30" i="11" l="1"/>
  <c r="E30" i="11"/>
  <c r="H30" i="11"/>
  <c r="E36" i="11"/>
  <c r="E28" i="11" l="1"/>
  <c r="E33" i="11"/>
  <c r="E35" i="11" l="1"/>
  <c r="GM1" i="11" l="1"/>
  <c r="K39" i="11" l="1"/>
  <c r="E34" i="11"/>
  <c r="AJ24" i="11"/>
  <c r="AI24" i="11" s="1"/>
  <c r="E31" i="11" l="1"/>
  <c r="E32" i="11"/>
  <c r="AH24"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J25" i="11" l="1"/>
  <c r="I24" i="11"/>
  <c r="H24" i="11" l="1"/>
  <c r="I25" i="11"/>
  <c r="H25" i="11" l="1"/>
  <c r="G24" i="11"/>
  <c r="G25" i="11" l="1"/>
  <c r="F24" i="11"/>
  <c r="F25" i="11" l="1"/>
  <c r="E24" i="11"/>
  <c r="E29" i="11" s="1"/>
  <c r="H39" i="11" l="1"/>
  <c r="E41" i="11" s="1"/>
  <c r="E25" i="11"/>
  <c r="E26" i="11" s="1"/>
  <c r="D23" i="11" s="1"/>
  <c r="E37" i="11" l="1"/>
  <c r="E15" i="11" l="1"/>
  <c r="E18" i="11"/>
  <c r="E20" i="11"/>
  <c r="E3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<sst xmlns="http://schemas.openxmlformats.org/spreadsheetml/2006/main" count="475" uniqueCount="304">
  <si>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</si>
  <si>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</si>
  <si>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</si>
  <si>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</si>
  <si>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</si>
  <si>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</si>
  <si>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</si>
  <si>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</si>
  <si>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</si>
  <si>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</si>
  <si>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</si>
  <si>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</si>
  <si>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</si>
  <si>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</si>
  <si>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</si>
  <si>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</si>
  <si>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</si>
  <si>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</si>
  <si>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</si>
  <si>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</si>
  <si>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</si>
  <si>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</si>
  <si>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</si>
  <si>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</si>
  <si>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</si>
  <si>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</si>
  <si>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</si>
  <si>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</si>
  <si>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</si>
  <si>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</si>
  <si>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</si>
  <si>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</si>
  <si>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</si>
  <si>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</si>
  <si>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</si>
  <si>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</si>
  <si>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</si>
  <si>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</si>
  <si>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</si>
  <si>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</si>
  <si>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</si>
  <si>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</si>
  <si>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</si>
  <si>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</si>
  <si>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</si>
  <si>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</si>
  <si>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</si>
  <si>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</si>
  <si>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</si>
  <si>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</si>
  <si>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</si>
  <si>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</si>
  <si>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</si>
  <si>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</si>
  <si>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</si>
  <si>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</si>
  <si>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</si>
  <si>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</si>
  <si>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</si>
  <si>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</si>
  <si>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</si>
  <si>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</si>
  <si>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</si>
  <si>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</si>
  <si>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</si>
  <si>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</si>
  <si>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</si>
  <si>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</si>
  <si>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</si>
  <si>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</si>
  <si>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</si>
  <si>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</si>
  <si>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</si>
  <si>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</si>
  <si>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</si>
  <si>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</si>
  <si>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</si>
  <si>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</si>
  <si>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</si>
  <si>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</si>
  <si>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</si>
  <si>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</si>
  <si>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</si>
  <si>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</si>
  <si>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</si>
  <si>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</si>
  <si>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</si>
  <si>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</si>
  <si>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</si>
  <si>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</si>
  <si>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</si>
  <si>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</si>
  <si>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</si>
  <si>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</si>
  <si>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</si>
  <si>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</si>
  <si>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</si>
  <si>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</si>
  <si>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</si>
  <si>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</si>
  <si>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</si>
  <si>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</si>
  <si>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</si>
  <si>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</si>
  <si>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</si>
  <si>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</si>
  <si>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</si>
  <si>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</si>
  <si>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</si>
  <si>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</si>
  <si>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</si>
  <si>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</si>
  <si>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</si>
  <si>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</si>
  <si>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</si>
  <si>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</si>
  <si>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</si>
  <si>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</si>
  <si>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</si>
  <si>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</si>
  <si>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</si>
  <si>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</si>
  <si>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</si>
  <si>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</si>
  <si>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</si>
  <si>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</si>
  <si>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</si>
  <si>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</si>
  <si>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</si>
  <si>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</si>
  <si>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</si>
  <si>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</si>
  <si>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</si>
  <si>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</si>
  <si>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</si>
  <si>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</si>
  <si>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</si>
  <si>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</si>
  <si>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</si>
  <si>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</si>
  <si>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</si>
  <si>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</si>
  <si>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</si>
  <si>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</si>
  <si>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</si>
  <si>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</si>
  <si>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</si>
  <si>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</si>
  <si>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</si>
  <si>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</si>
  <si>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</si>
  <si>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</si>
  <si>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</si>
  <si>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</si>
  <si>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</si>
  <si>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</si>
  <si>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</si>
  <si>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</si>
  <si>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</si>
  <si>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</si>
  <si>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</si>
  <si>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</si>
  <si>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</si>
  <si>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</si>
  <si>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</si>
  <si>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</si>
  <si>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</si>
  <si>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</si>
  <si>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</si>
  <si>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</si>
  <si>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</si>
  <si>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</si>
  <si>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</si>
  <si>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</si>
  <si>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</si>
  <si>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</si>
  <si>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</si>
  <si>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</si>
  <si>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</si>
  <si>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</si>
  <si>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</si>
  <si>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</si>
  <si>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</si>
  <si>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</si>
  <si>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</si>
  <si>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</si>
  <si>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</si>
  <si>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</si>
  <si>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</si>
  <si>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</si>
  <si>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</si>
  <si>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</si>
  <si>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</si>
  <si>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</si>
  <si>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</si>
  <si>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</si>
  <si>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</si>
  <si>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</si>
  <si>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</si>
  <si>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</si>
  <si>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</si>
  <si>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</si>
  <si>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</si>
  <si>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</si>
  <si>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</si>
  <si>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</si>
  <si>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</si>
  <si>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</si>
  <si>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</si>
  <si>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</si>
  <si>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</si>
  <si>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</si>
  <si>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</si>
  <si>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</si>
  <si>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</si>
  <si>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</si>
  <si>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</si>
  <si>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</si>
  <si>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</si>
  <si>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</si>
  <si>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</si>
  <si>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</si>
  <si>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</si>
  <si>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</si>
  <si>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</si>
  <si>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</si>
  <si>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</si>
  <si>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</si>
  <si>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</si>
  <si>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</si>
  <si>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</si>
  <si>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</si>
  <si>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</si>
  <si>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</si>
  <si>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</si>
  <si>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</si>
  <si>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</si>
  <si>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</si>
  <si>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</si>
  <si>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</si>
  <si>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</si>
  <si>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</si>
  <si>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</si>
  <si>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</si>
  <si>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</si>
  <si>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</si>
  <si>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</si>
  <si>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</si>
  <si>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</si>
  <si>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</si>
  <si>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</si>
  <si>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</si>
  <si>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</si>
  <si>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</si>
  <si>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</si>
  <si>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</si>
  <si>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</si>
  <si>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</si>
  <si>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</si>
  <si>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</si>
  <si>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</si>
  <si>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</si>
  <si>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</si>
  <si>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</si>
  <si>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</si>
  <si>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</si>
  <si>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</si>
  <si>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</si>
  <si>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</si>
  <si>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</si>
  <si>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</si>
  <si>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</si>
  <si>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</si>
  <si>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</si>
  <si>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</si>
  <si>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</si>
  <si>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</si>
  <si>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</si>
  <si>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</si>
  <si>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</si>
  <si>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</si>
  <si>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</si>
  <si>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</si>
  <si>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</si>
  <si>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</si>
  <si>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</si>
  <si>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</si>
  <si>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</si>
  <si>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</si>
  <si>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</si>
  <si>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</si>
  <si>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</si>
  <si>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</si>
  <si>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</si>
  <si>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</si>
  <si>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</si>
  <si>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</si>
  <si>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</si>
  <si>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</si>
  <si>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</si>
  <si>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</si>
  <si>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</si>
  <si>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</si>
  <si>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0.77    02.07.19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</si>
</sst>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68">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cellXfs>
  <cellStyles count="2">
    <cellStyle name="Link" xfId="1" builtinId="8"/>
    <cellStyle name="Standard" xfId="0" builtinId="0"/>
  </cellStyles>
  <dxfs count="11">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12</xdr:row>
          <xdr:rowOff>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19050</xdr:colOff>
      <xdr:row>0</xdr:row>
      <xdr:rowOff>0</xdr:rowOff>
    </xdr:from>
    <xdr:to>
      <xdr:col>36</xdr:col>
      <xdr:colOff>240564</xdr:colOff>
      <xdr:row>9</xdr:row>
      <xdr:rowOff>23899</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257925"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showRowColHeaders="0" tabSelected="1" zoomScaleNormal="100" workbookViewId="0">
      <selection activeCell="D2" sqref="D2"/>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Wechselblinker(LED,InNr)                       PatternT1(LED,128,InNr,2,0,128,0,0,1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Wechselblinker_StCh(LED,StCh,InNr)     PatternT1(LED,StCh+128,InNr,2,0,128,0,0,1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3"/>
      <c r="AA23" s="3"/>
      <c r="AB23" s="3"/>
      <c r="AC23" s="23"/>
      <c r="AD23" s="23"/>
      <c r="AE23" s="23"/>
      <c r="AF23" s="23"/>
      <c r="AG23" s="23"/>
      <c r="AH23" s="23"/>
      <c r="AI23" s="23"/>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 t="shared" si="0"/>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 t="shared" si="0"/>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IF(Goto_Mode=1,"",",InNr")</f>
        <v>,InNr</v>
      </c>
      <c r="I30" s="30" t="s">
        <v>32</v>
      </c>
      <c r="J30" s="11" t="str">
        <f>IF(Goto_Mode=1,"SI_LocalVar","InNr")</f>
        <v>InNr</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",Makro_Name,"(LED,NStru,InNr)    ",Start,"LED,NStru,InNr,",Ende)</f>
        <v>#define Wechselblinker(LED,NStru,InNr)    PatternT1(LED,NStru,InNr,2,0,128,0,0,1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66">
        <f>E39+TimerBytes+DataBytes</f>
        <v>14</v>
      </c>
      <c r="F41" s="67"/>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sheet="1" objects="1" scenarios="1" formatCells="0" insertHyperlinks="0"/>
  <protectedRanges>
    <protectedRange sqref="C1" name="Bereich4"/>
    <protectedRange sqref="F42:BH42" name="Bereich1"/>
    <protectedRange sqref="E2:E13 F13" name="Bereich2"/>
    <protectedRange sqref="E17" name="Bereich3"/>
  </protectedRanges>
  <dataConsolidate/>
  <mergeCells count="1">
    <mergeCell ref="E41:F41"/>
  </mergeCells>
  <conditionalFormatting sqref="D45:D154">
    <cfRule type="expression" dxfId="10" priority="13">
      <formula>$E$5&gt;=ROW(D45)-ROW($D$44)</formula>
    </cfRule>
  </conditionalFormatting>
  <conditionalFormatting sqref="F42 E41">
    <cfRule type="expression" dxfId="9" priority="4">
      <formula>$E$41&gt;2000</formula>
    </cfRule>
    <cfRule type="expression" dxfId="8" priority="5">
      <formula>$E$41&gt;2000</formula>
    </cfRule>
    <cfRule type="expression" dxfId="7" priority="6">
      <formula>$E$41&gt;2000</formula>
    </cfRule>
    <cfRule type="expression" dxfId="6" priority="7">
      <formula>$E$41&gt;2000</formula>
    </cfRule>
    <cfRule type="expression" dxfId="5" priority="8">
      <formula>$E$41&gt;2000</formula>
    </cfRule>
    <cfRule type="expression" dxfId="4" priority="9">
      <formula>$E$41&gt;2000</formula>
    </cfRule>
    <cfRule type="expression" dxfId="3" priority="10">
      <formula>$E$41&gt;2000</formula>
    </cfRule>
    <cfRule type="expression" dxfId="2" priority="11">
      <formula>$E$41&gt;2000</formula>
    </cfRule>
  </conditionalFormatting>
  <conditionalFormatting sqref="F23:Y23">
    <cfRule type="expression" dxfId="1" priority="2">
      <formula>_xlfn.ISFORMULA(F23)</formula>
    </cfRule>
  </conditionalFormatting>
  <conditionalFormatting sqref="L78:BI78 AB57:BI57 E79:BI154 E78:J78 E45:BI56 E58:BI77 C45:D154 E57:Z57">
    <cfRule type="expression" dxfId="0"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32</vt:i4>
      </vt:variant>
    </vt:vector>
  </HeadingPairs>
  <TitlesOfParts>
    <vt:vector size="34" baseType="lpstr">
      <vt:lpstr>Main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Goto_Bytes</vt:lpstr>
      <vt:lpstr>Goto_Mode</vt:lpstr>
      <vt:lpstr>Grafische_Anzeige</vt:lpstr>
      <vt:lpstr>InChStr</vt:lpstr>
      <vt:lpstr>InNrStr</vt:lpstr>
      <vt:lpstr>InNrStr2</vt:lpstr>
      <vt:lpstr>InputCh</vt:lpstr>
      <vt:lpstr>Kanaele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2019-07-02T15:05:42Z</dcterms:modified>
</cp:coreProperties>
</file>