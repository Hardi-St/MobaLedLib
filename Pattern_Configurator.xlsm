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DieseArbeitsmappe"/>
  <mc:AlternateContent xmlns:mc="http://schemas.openxmlformats.org/markup-compatibility/2006">
    <mc:Choice Requires="x15">
      <x15ac:absPath xmlns:x15ac="http://schemas.microsoft.com/office/spreadsheetml/2010/11/ac" url="C:\Dat\Märklin\Arduino\LEDs_Eisenbahn\"/>
    </mc:Choice>
  </mc:AlternateContent>
  <xr:revisionPtr revIDLastSave="0" documentId="13_ncr:1_{BE2CECFD-F5CD-489F-A107-B3C195856BDA}" xr6:coauthVersionLast="40" xr6:coauthVersionMax="40" xr10:uidLastSave="{00000000-0000-0000-0000-000000000000}"/>
  <bookViews>
    <workbookView xWindow="18720" yWindow="0" windowWidth="28800" windowHeight="13812" tabRatio="881" firstSheet="3" activeTab="14" xr2:uid="{00000000-000D-0000-FFFF-FFFF00000000}"/>
  </bookViews>
  <sheets>
    <sheet name="Main" sheetId="11" r:id="rId1"/>
    <sheet name="LocalVar Sound" sheetId="46" r:id="rId2"/>
    <sheet name="90.Int_Test_LocalVar_Pattern" sheetId="45" r:id="rId3"/>
    <sheet name="Main mit Wechselblinker" sheetId="44" r:id="rId4"/>
    <sheet name="Heartbeat_Hue" sheetId="33" r:id="rId5"/>
    <sheet name="Heartbeat_Val" sheetId="34" r:id="rId6"/>
    <sheet name="ConstrWarnLight" sheetId="35" r:id="rId7"/>
    <sheet name="RGB_ConstrWarnLight" sheetId="36" r:id="rId8"/>
    <sheet name="AmpelX" sheetId="23" r:id="rId9"/>
    <sheet name="AmpelX_Off" sheetId="31" r:id="rId10"/>
    <sheet name="RGB_AmpelX" sheetId="21" r:id="rId11"/>
    <sheet name="RGB_AmpelX_Off" sheetId="30" r:id="rId12"/>
    <sheet name="RGB_AmpelX_Fade" sheetId="22" r:id="rId13"/>
    <sheet name="RGB_AmpelX_Fade_Off" sheetId="32" r:id="rId14"/>
    <sheet name="Dep Signal4 RGB" sheetId="49" r:id="rId15"/>
    <sheet name="Dep Signal4" sheetId="50" r:id="rId16"/>
    <sheet name="Entry Signal3 RGB" sheetId="48" r:id="rId17"/>
    <sheet name=" Entry Signal3" sheetId="47" r:id="rId18"/>
    <sheet name="Ilumination Hue" sheetId="41" r:id="rId19"/>
    <sheet name="Ilumination Val" sheetId="42" r:id="rId20"/>
  </sheets>
  <functionGroups builtInGroupCount="19"/>
  <definedNames>
    <definedName name="Analog" localSheetId="17">' Entry Signal3'!$E$27</definedName>
    <definedName name="Analog" localSheetId="2">'90.Int_Test_LocalVar_Pattern'!$E$27</definedName>
    <definedName name="Analog" localSheetId="8">AmpelX!$E$26</definedName>
    <definedName name="Analog" localSheetId="9">AmpelX_Off!$E$26</definedName>
    <definedName name="Analog" localSheetId="6">ConstrWarnLight!$E$26</definedName>
    <definedName name="Analog" localSheetId="15">'Dep Signal4'!$E$27</definedName>
    <definedName name="Analog" localSheetId="14">'Dep Signal4 RGB'!$E$27</definedName>
    <definedName name="Analog" localSheetId="16">'Entry Signal3 RGB'!$E$27</definedName>
    <definedName name="Analog" localSheetId="4">Heartbeat_Hue!$E$26</definedName>
    <definedName name="Analog" localSheetId="5">Heartbeat_Val!$E$26</definedName>
    <definedName name="Analog" localSheetId="18">'Ilumination Hue'!$E$26</definedName>
    <definedName name="Analog" localSheetId="19">'Ilumination Val'!$E$26</definedName>
    <definedName name="Analog" localSheetId="1">'LocalVar Sound'!$E$27</definedName>
    <definedName name="Analog" localSheetId="3">'Main mit Wechselblinker'!$E$27</definedName>
    <definedName name="Analog" localSheetId="10">RGB_AmpelX!$E$26</definedName>
    <definedName name="Analog" localSheetId="12">RGB_AmpelX_Fade!$E$26</definedName>
    <definedName name="Analog" localSheetId="13">RGB_AmpelX_Fade_Off!$E$26</definedName>
    <definedName name="Analog" localSheetId="11">RGB_AmpelX_Off!$E$26</definedName>
    <definedName name="Analog" localSheetId="7">RGB_ConstrWarnLight!$E$26</definedName>
    <definedName name="Analog">Main!$E$27</definedName>
    <definedName name="Analoges_Überblenden" localSheetId="17">' Entry Signal3'!$E$11</definedName>
    <definedName name="Analoges_Überblenden" localSheetId="2">'90.Int_Test_LocalVar_Pattern'!$E$11</definedName>
    <definedName name="Analoges_Überblenden" localSheetId="8">AmpelX!$E$11</definedName>
    <definedName name="Analoges_Überblenden" localSheetId="9">AmpelX_Off!$E$11</definedName>
    <definedName name="Analoges_Überblenden" localSheetId="6">ConstrWarnLight!$E$11</definedName>
    <definedName name="Analoges_Überblenden" localSheetId="15">'Dep Signal4'!$E$11</definedName>
    <definedName name="Analoges_Überblenden" localSheetId="14">'Dep Signal4 RGB'!$E$11</definedName>
    <definedName name="Analoges_Überblenden" localSheetId="16">'Entry Signal3 RGB'!$E$11</definedName>
    <definedName name="Analoges_Überblenden" localSheetId="4">Heartbeat_Hue!$E$11</definedName>
    <definedName name="Analoges_Überblenden" localSheetId="5">Heartbeat_Val!$E$11</definedName>
    <definedName name="Analoges_Überblenden" localSheetId="18">'Ilumination Hue'!$E$11</definedName>
    <definedName name="Analoges_Überblenden" localSheetId="19">'Ilumination Val'!$E$11</definedName>
    <definedName name="Analoges_Überblenden" localSheetId="1">'LocalVar Sound'!$E$11</definedName>
    <definedName name="Analoges_Überblenden" localSheetId="3">'Main mit Wechselblinker'!$E$11</definedName>
    <definedName name="Analoges_Überblenden" localSheetId="10">RGB_AmpelX!$E$11</definedName>
    <definedName name="Analoges_Überblenden" localSheetId="12">RGB_AmpelX_Fade!$E$11</definedName>
    <definedName name="Analoges_Überblenden" localSheetId="13">RGB_AmpelX_Fade_Off!$E$11</definedName>
    <definedName name="Analoges_Überblenden" localSheetId="11">RGB_AmpelX_Off!$E$11</definedName>
    <definedName name="Analoges_Überblenden" localSheetId="7">RGB_ConstrWarnLight!$E$11</definedName>
    <definedName name="Analoges_Überblenden">Main!$E$11</definedName>
    <definedName name="AnalogUeberbl" localSheetId="17">' Entry Signal3'!$E$11</definedName>
    <definedName name="AnalogUeberbl" localSheetId="2">'90.Int_Test_LocalVar_Pattern'!$E$11</definedName>
    <definedName name="AnalogUeberbl" localSheetId="8">AmpelX!$E$11</definedName>
    <definedName name="AnalogUeberbl" localSheetId="9">AmpelX_Off!$E$11</definedName>
    <definedName name="AnalogUeberbl" localSheetId="6">ConstrWarnLight!$E$11</definedName>
    <definedName name="AnalogUeberbl" localSheetId="15">'Dep Signal4'!$E$11</definedName>
    <definedName name="AnalogUeberbl" localSheetId="14">'Dep Signal4 RGB'!$E$11</definedName>
    <definedName name="AnalogUeberbl" localSheetId="16">'Entry Signal3 RGB'!$E$11</definedName>
    <definedName name="AnalogUeberbl" localSheetId="4">Heartbeat_Hue!$E$11</definedName>
    <definedName name="AnalogUeberbl" localSheetId="5">Heartbeat_Val!$E$11</definedName>
    <definedName name="AnalogUeberbl" localSheetId="18">'Ilumination Hue'!$E$11</definedName>
    <definedName name="AnalogUeberbl" localSheetId="19">'Ilumination Val'!$E$11</definedName>
    <definedName name="AnalogUeberbl" localSheetId="1">'LocalVar Sound'!$E$11</definedName>
    <definedName name="AnalogUeberbl" localSheetId="3">'Main mit Wechselblinker'!$E$11</definedName>
    <definedName name="AnalogUeberbl" localSheetId="10">RGB_AmpelX!$E$11</definedName>
    <definedName name="AnalogUeberbl" localSheetId="12">RGB_AmpelX_Fade!$E$11</definedName>
    <definedName name="AnalogUeberbl" localSheetId="13">RGB_AmpelX_Fade_Off!$E$11</definedName>
    <definedName name="AnalogUeberbl" localSheetId="11">RGB_AmpelX_Off!$E$11</definedName>
    <definedName name="AnalogUeberbl" localSheetId="7">RGB_ConstrWarnLight!$E$11</definedName>
    <definedName name="AnalogUeberbl">Main!$E$11</definedName>
    <definedName name="Bits_pro_Wert" localSheetId="17">' Entry Signal3'!$E$6</definedName>
    <definedName name="Bits_pro_Wert" localSheetId="2">'90.Int_Test_LocalVar_Pattern'!$E$6</definedName>
    <definedName name="Bits_pro_Wert" localSheetId="8">AmpelX!$E$6</definedName>
    <definedName name="Bits_pro_Wert" localSheetId="9">AmpelX_Off!$E$6</definedName>
    <definedName name="Bits_pro_Wert" localSheetId="6">ConstrWarnLight!$E$6</definedName>
    <definedName name="Bits_pro_Wert" localSheetId="15">'Dep Signal4'!$E$6</definedName>
    <definedName name="Bits_pro_Wert" localSheetId="14">'Dep Signal4 RGB'!$E$6</definedName>
    <definedName name="Bits_pro_Wert" localSheetId="16">'Entry Signal3 RGB'!$E$6</definedName>
    <definedName name="Bits_pro_Wert" localSheetId="4">Heartbeat_Hue!$E$6</definedName>
    <definedName name="Bits_pro_Wert" localSheetId="5">Heartbeat_Val!$E$6</definedName>
    <definedName name="Bits_pro_Wert" localSheetId="18">'Ilumination Hue'!$E$6</definedName>
    <definedName name="Bits_pro_Wert" localSheetId="19">'Ilumination Val'!$E$6</definedName>
    <definedName name="Bits_pro_Wert" localSheetId="1">'LocalVar Sound'!$E$6</definedName>
    <definedName name="Bits_pro_Wert" localSheetId="3">'Main mit Wechselblinker'!$E$6</definedName>
    <definedName name="Bits_pro_Wert" localSheetId="10">RGB_AmpelX!$E$6</definedName>
    <definedName name="Bits_pro_Wert" localSheetId="12">RGB_AmpelX_Fade!$E$6</definedName>
    <definedName name="Bits_pro_Wert" localSheetId="13">RGB_AmpelX_Fade_Off!$E$6</definedName>
    <definedName name="Bits_pro_Wert" localSheetId="11">RGB_AmpelX_Off!$E$6</definedName>
    <definedName name="Bits_pro_Wert" localSheetId="7">RGB_ConstrWarnLight!$E$6</definedName>
    <definedName name="Bits_pro_Wert">Main!$E$6</definedName>
    <definedName name="DataBytes" localSheetId="17">' Entry Signal3'!$K$38</definedName>
    <definedName name="DataBytes" localSheetId="2">'90.Int_Test_LocalVar_Pattern'!$K$38</definedName>
    <definedName name="DataBytes" localSheetId="8">AmpelX!$K$35</definedName>
    <definedName name="DataBytes" localSheetId="9">AmpelX_Off!$K$35</definedName>
    <definedName name="DataBytes" localSheetId="6">ConstrWarnLight!$K$35</definedName>
    <definedName name="DataBytes" localSheetId="15">'Dep Signal4'!$K$38</definedName>
    <definedName name="DataBytes" localSheetId="14">'Dep Signal4 RGB'!$K$38</definedName>
    <definedName name="DataBytes" localSheetId="16">'Entry Signal3 RGB'!$K$38</definedName>
    <definedName name="DataBytes" localSheetId="4">Heartbeat_Hue!$K$35</definedName>
    <definedName name="DataBytes" localSheetId="5">Heartbeat_Val!$K$35</definedName>
    <definedName name="DataBytes" localSheetId="18">'Ilumination Hue'!$K$35</definedName>
    <definedName name="DataBytes" localSheetId="19">'Ilumination Val'!$K$35</definedName>
    <definedName name="DataBytes" localSheetId="1">'LocalVar Sound'!$K$38</definedName>
    <definedName name="DataBytes" localSheetId="0">Main!$K$38</definedName>
    <definedName name="DataBytes" localSheetId="3">'Main mit Wechselblinker'!$K$36</definedName>
    <definedName name="DataBytes" localSheetId="10">RGB_AmpelX!$K$35</definedName>
    <definedName name="DataBytes" localSheetId="12">RGB_AmpelX_Fade!$K$35</definedName>
    <definedName name="DataBytes" localSheetId="13">RGB_AmpelX_Fade_Off!$K$35</definedName>
    <definedName name="DataBytes" localSheetId="11">RGB_AmpelX_Off!$K$35</definedName>
    <definedName name="DataBytes" localSheetId="7">RGB_ConstrWarnLight!$K$35</definedName>
    <definedName name="Ende" localSheetId="17">' Entry Signal3'!$E$36</definedName>
    <definedName name="Ende" localSheetId="2">'90.Int_Test_LocalVar_Pattern'!$E$36</definedName>
    <definedName name="Ende" localSheetId="8">AmpelX!$E$33</definedName>
    <definedName name="Ende" localSheetId="9">AmpelX_Off!$E$33</definedName>
    <definedName name="Ende" localSheetId="6">ConstrWarnLight!$E$33</definedName>
    <definedName name="Ende" localSheetId="15">'Dep Signal4'!$E$36</definedName>
    <definedName name="Ende" localSheetId="14">'Dep Signal4 RGB'!$E$36</definedName>
    <definedName name="Ende" localSheetId="16">'Entry Signal3 RGB'!$E$36</definedName>
    <definedName name="Ende" localSheetId="4">Heartbeat_Hue!$E$33</definedName>
    <definedName name="Ende" localSheetId="5">Heartbeat_Val!$E$33</definedName>
    <definedName name="Ende" localSheetId="18">'Ilumination Hue'!$E$33</definedName>
    <definedName name="Ende" localSheetId="19">'Ilumination Val'!$E$33</definedName>
    <definedName name="Ende" localSheetId="1">'LocalVar Sound'!$E$36</definedName>
    <definedName name="Ende" localSheetId="3">'Main mit Wechselblinker'!$E$34</definedName>
    <definedName name="Ende" localSheetId="10">RGB_AmpelX!$E$33</definedName>
    <definedName name="Ende" localSheetId="12">RGB_AmpelX_Fade!$E$33</definedName>
    <definedName name="Ende" localSheetId="13">RGB_AmpelX_Fade_Off!$E$33</definedName>
    <definedName name="Ende" localSheetId="11">RGB_AmpelX_Off!$E$33</definedName>
    <definedName name="Ende" localSheetId="7">RGB_ConstrWarnLight!$E$33</definedName>
    <definedName name="Ende">Main!$E$36</definedName>
    <definedName name="ErsteRGBLED" localSheetId="17">' Entry Signal3'!$E$2</definedName>
    <definedName name="ErsteRGBLED" localSheetId="2">'90.Int_Test_LocalVar_Pattern'!$E$2</definedName>
    <definedName name="ErsteRGBLED" localSheetId="8">AmpelX!$E$2</definedName>
    <definedName name="ErsteRGBLED" localSheetId="9">AmpelX_Off!$E$2</definedName>
    <definedName name="ErsteRGBLED" localSheetId="6">ConstrWarnLight!$E$2</definedName>
    <definedName name="ErsteRGBLED" localSheetId="15">'Dep Signal4'!$E$2</definedName>
    <definedName name="ErsteRGBLED" localSheetId="14">'Dep Signal4 RGB'!$E$2</definedName>
    <definedName name="ErsteRGBLED" localSheetId="16">'Entry Signal3 RGB'!$E$2</definedName>
    <definedName name="ErsteRGBLED" localSheetId="4">Heartbeat_Hue!$E$2</definedName>
    <definedName name="ErsteRGBLED" localSheetId="5">Heartbeat_Val!$E$2</definedName>
    <definedName name="ErsteRGBLED" localSheetId="18">'Ilumination Hue'!$E$2</definedName>
    <definedName name="ErsteRGBLED" localSheetId="19">'Ilumination Val'!$E$2</definedName>
    <definedName name="ErsteRGBLED" localSheetId="1">'LocalVar Sound'!$E$2</definedName>
    <definedName name="ErsteRGBLED" localSheetId="3">'Main mit Wechselblinker'!$E$2</definedName>
    <definedName name="ErsteRGBLED" localSheetId="10">RGB_AmpelX!$E$2</definedName>
    <definedName name="ErsteRGBLED" localSheetId="12">RGB_AmpelX_Fade!$E$2</definedName>
    <definedName name="ErsteRGBLED" localSheetId="13">RGB_AmpelX_Fade_Off!$E$2</definedName>
    <definedName name="ErsteRGBLED" localSheetId="11">RGB_AmpelX_Off!$E$2</definedName>
    <definedName name="ErsteRGBLED" localSheetId="7">RGB_ConstrWarnLight!$E$2</definedName>
    <definedName name="ErsteRGBLED">Main!$E$2</definedName>
    <definedName name="FreeBits" localSheetId="17">' Entry Signal3'!$E$33</definedName>
    <definedName name="FreeBits" localSheetId="2">'90.Int_Test_LocalVar_Pattern'!$E$33</definedName>
    <definedName name="FreeBits" localSheetId="8">AmpelX!$E$31</definedName>
    <definedName name="FreeBits" localSheetId="9">AmpelX_Off!$E$31</definedName>
    <definedName name="FreeBits" localSheetId="6">ConstrWarnLight!$E$31</definedName>
    <definedName name="FreeBits" localSheetId="15">'Dep Signal4'!$E$33</definedName>
    <definedName name="FreeBits" localSheetId="14">'Dep Signal4 RGB'!$E$33</definedName>
    <definedName name="FreeBits" localSheetId="16">'Entry Signal3 RGB'!$E$33</definedName>
    <definedName name="FreeBits" localSheetId="4">Heartbeat_Hue!$E$31</definedName>
    <definedName name="FreeBits" localSheetId="5">Heartbeat_Val!$E$31</definedName>
    <definedName name="FreeBits" localSheetId="18">'Ilumination Hue'!$E$31</definedName>
    <definedName name="FreeBits" localSheetId="19">'Ilumination Val'!$E$31</definedName>
    <definedName name="FreeBits" localSheetId="1">'LocalVar Sound'!$E$33</definedName>
    <definedName name="FreeBits" localSheetId="3">'Main mit Wechselblinker'!$E$32</definedName>
    <definedName name="FreeBits" localSheetId="10">RGB_AmpelX!$E$31</definedName>
    <definedName name="FreeBits" localSheetId="12">RGB_AmpelX_Fade!$E$31</definedName>
    <definedName name="FreeBits" localSheetId="13">RGB_AmpelX_Fade_Off!$E$31</definedName>
    <definedName name="FreeBits" localSheetId="11">RGB_AmpelX_Off!$E$31</definedName>
    <definedName name="FreeBits" localSheetId="7">RGB_ConstrWarnLight!$E$31</definedName>
    <definedName name="FreeBits">Main!$E$33</definedName>
    <definedName name="FreeBits_BpC" localSheetId="17">' Entry Signal3'!$E$31</definedName>
    <definedName name="FreeBits_BpC" localSheetId="2">'90.Int_Test_LocalVar_Pattern'!$E$31</definedName>
    <definedName name="FreeBits_BpC" localSheetId="8">AmpelX!$E$29</definedName>
    <definedName name="FreeBits_BpC" localSheetId="9">AmpelX_Off!$E$29</definedName>
    <definedName name="FreeBits_BpC" localSheetId="6">ConstrWarnLight!$E$29</definedName>
    <definedName name="FreeBits_BpC" localSheetId="15">'Dep Signal4'!$E$31</definedName>
    <definedName name="FreeBits_BpC" localSheetId="14">'Dep Signal4 RGB'!$E$31</definedName>
    <definedName name="FreeBits_BpC" localSheetId="16">'Entry Signal3 RGB'!$E$31</definedName>
    <definedName name="FreeBits_BpC" localSheetId="4">Heartbeat_Hue!$E$29</definedName>
    <definedName name="FreeBits_BpC" localSheetId="5">Heartbeat_Val!$E$29</definedName>
    <definedName name="FreeBits_BpC" localSheetId="18">'Ilumination Hue'!$E$29</definedName>
    <definedName name="FreeBits_BpC" localSheetId="19">'Ilumination Val'!$E$29</definedName>
    <definedName name="FreeBits_BpC" localSheetId="1">'LocalVar Sound'!$E$31</definedName>
    <definedName name="FreeBits_BpC" localSheetId="3">'Main mit Wechselblinker'!$E$30</definedName>
    <definedName name="FreeBits_BpC" localSheetId="10">RGB_AmpelX!$E$29</definedName>
    <definedName name="FreeBits_BpC" localSheetId="12">RGB_AmpelX_Fade!$E$29</definedName>
    <definedName name="FreeBits_BpC" localSheetId="13">RGB_AmpelX_Fade_Off!$E$29</definedName>
    <definedName name="FreeBits_BpC" localSheetId="11">RGB_AmpelX_Off!$E$29</definedName>
    <definedName name="FreeBits_BpC" localSheetId="7">RGB_ConstrWarnLight!$E$29</definedName>
    <definedName name="FreeBits_BpC">Main!$E$31</definedName>
    <definedName name="Goto_Bytes" localSheetId="17">' Entry Signal3'!$E$35</definedName>
    <definedName name="Goto_Bytes" localSheetId="2">'90.Int_Test_LocalVar_Pattern'!$E$35</definedName>
    <definedName name="Goto_Bytes" localSheetId="15">'Dep Signal4'!$E$35</definedName>
    <definedName name="Goto_Bytes" localSheetId="14">'Dep Signal4 RGB'!$E$35</definedName>
    <definedName name="Goto_Bytes" localSheetId="16">'Entry Signal3 RGB'!$E$35</definedName>
    <definedName name="Goto_Bytes" localSheetId="1">'LocalVar Sound'!$E$35</definedName>
    <definedName name="Goto_Bytes">Main!$E$35</definedName>
    <definedName name="Goto_Mode" localSheetId="17">' Entry Signal3'!$E$12</definedName>
    <definedName name="Goto_Mode" localSheetId="2">'90.Int_Test_LocalVar_Pattern'!$E$12</definedName>
    <definedName name="Goto_Mode" localSheetId="15">'Dep Signal4'!$E$12</definedName>
    <definedName name="Goto_Mode" localSheetId="14">'Dep Signal4 RGB'!$E$12</definedName>
    <definedName name="Goto_Mode" localSheetId="16">'Entry Signal3 RGB'!$E$12</definedName>
    <definedName name="Goto_Mode" localSheetId="1">'LocalVar Sound'!$E$12</definedName>
    <definedName name="Goto_Mode">Main!$E$12</definedName>
    <definedName name="InChStr" localSheetId="17">' Entry Signal3'!$H$29</definedName>
    <definedName name="InChStr" localSheetId="2">'90.Int_Test_LocalVar_Pattern'!$H$29</definedName>
    <definedName name="InChStr" localSheetId="15">'Dep Signal4'!$H$29</definedName>
    <definedName name="InChStr" localSheetId="14">'Dep Signal4 RGB'!$H$29</definedName>
    <definedName name="InChStr" localSheetId="16">'Entry Signal3 RGB'!$H$29</definedName>
    <definedName name="InChStr" localSheetId="1">'LocalVar Sound'!$H$29</definedName>
    <definedName name="InChStr">Main!$H$29</definedName>
    <definedName name="InNrStr" localSheetId="17">' Entry Signal3'!$H$29</definedName>
    <definedName name="InNrStr" localSheetId="2">'90.Int_Test_LocalVar_Pattern'!$H$29</definedName>
    <definedName name="InNrStr" localSheetId="15">'Dep Signal4'!$H$29</definedName>
    <definedName name="InNrStr" localSheetId="14">'Dep Signal4 RGB'!$H$29</definedName>
    <definedName name="InNrStr" localSheetId="16">'Entry Signal3 RGB'!$H$29</definedName>
    <definedName name="InNrStr" localSheetId="1">'LocalVar Sound'!$H$29</definedName>
    <definedName name="InNrStr">Main!$H$29</definedName>
    <definedName name="InNrStr2" localSheetId="17">' Entry Signal3'!$J$29</definedName>
    <definedName name="InNrStr2" localSheetId="2">'90.Int_Test_LocalVar_Pattern'!$J$29</definedName>
    <definedName name="InNrStr2" localSheetId="15">'Dep Signal4'!$J$29</definedName>
    <definedName name="InNrStr2" localSheetId="14">'Dep Signal4 RGB'!$J$29</definedName>
    <definedName name="InNrStr2" localSheetId="16">'Entry Signal3 RGB'!$J$29</definedName>
    <definedName name="InNrStr2" localSheetId="1">'LocalVar Sound'!$J$29</definedName>
    <definedName name="InNrStr2">Main!$J$29</definedName>
    <definedName name="InputCh" localSheetId="17">' Entry Signal3'!$E$29</definedName>
    <definedName name="InputCh" localSheetId="2">'90.Int_Test_LocalVar_Pattern'!$E$29</definedName>
    <definedName name="InputCh" localSheetId="15">'Dep Signal4'!$E$29</definedName>
    <definedName name="InputCh" localSheetId="14">'Dep Signal4 RGB'!$E$29</definedName>
    <definedName name="InputCh" localSheetId="16">'Entry Signal3 RGB'!$E$29</definedName>
    <definedName name="InputCh" localSheetId="1">'LocalVar Sound'!$E$29</definedName>
    <definedName name="InputCh">Main!$E$29</definedName>
    <definedName name="Kanaele" localSheetId="17">' Entry Signal3'!$E$5</definedName>
    <definedName name="Kanaele" localSheetId="2">'90.Int_Test_LocalVar_Pattern'!$E$5</definedName>
    <definedName name="Kanaele" localSheetId="8">AmpelX!$E$5</definedName>
    <definedName name="Kanaele" localSheetId="9">AmpelX_Off!$E$5</definedName>
    <definedName name="Kanaele" localSheetId="6">ConstrWarnLight!$E$5</definedName>
    <definedName name="Kanaele" localSheetId="15">'Dep Signal4'!$E$5</definedName>
    <definedName name="Kanaele" localSheetId="14">'Dep Signal4 RGB'!$E$5</definedName>
    <definedName name="Kanaele" localSheetId="16">'Entry Signal3 RGB'!$E$5</definedName>
    <definedName name="Kanaele" localSheetId="4">Heartbeat_Hue!$E$5</definedName>
    <definedName name="Kanaele" localSheetId="5">Heartbeat_Val!$E$5</definedName>
    <definedName name="Kanaele" localSheetId="18">'Ilumination Hue'!$E$5</definedName>
    <definedName name="Kanaele" localSheetId="19">'Ilumination Val'!$E$5</definedName>
    <definedName name="Kanaele" localSheetId="1">'LocalVar Sound'!$E$5</definedName>
    <definedName name="Kanaele" localSheetId="3">'Main mit Wechselblinker'!$E$5</definedName>
    <definedName name="Kanaele" localSheetId="10">RGB_AmpelX!$E$5</definedName>
    <definedName name="Kanaele" localSheetId="12">RGB_AmpelX_Fade!$E$5</definedName>
    <definedName name="Kanaele" localSheetId="13">RGB_AmpelX_Fade_Off!$E$5</definedName>
    <definedName name="Kanaele" localSheetId="11">RGB_AmpelX_Off!$E$5</definedName>
    <definedName name="Kanaele" localSheetId="7">RGB_ConstrWarnLight!$E$5</definedName>
    <definedName name="Kanaele">Main!$E$5</definedName>
    <definedName name="Makro_Name" localSheetId="17">' Entry Signal3'!$E$16</definedName>
    <definedName name="Makro_Name" localSheetId="2">'90.Int_Test_LocalVar_Pattern'!$E$16</definedName>
    <definedName name="Makro_Name" localSheetId="8">AmpelX!$E$15</definedName>
    <definedName name="Makro_Name" localSheetId="9">AmpelX_Off!$E$15</definedName>
    <definedName name="Makro_Name" localSheetId="6">ConstrWarnLight!$E$15</definedName>
    <definedName name="Makro_Name" localSheetId="15">'Dep Signal4'!$E$16</definedName>
    <definedName name="Makro_Name" localSheetId="14">'Dep Signal4 RGB'!$E$16</definedName>
    <definedName name="Makro_Name" localSheetId="16">'Entry Signal3 RGB'!$E$16</definedName>
    <definedName name="Makro_Name" localSheetId="4">Heartbeat_Hue!$E$15</definedName>
    <definedName name="Makro_Name" localSheetId="5">Heartbeat_Val!$E$15</definedName>
    <definedName name="Makro_Name" localSheetId="18">'Ilumination Hue'!$E$15</definedName>
    <definedName name="Makro_Name" localSheetId="19">'Ilumination Val'!$E$15</definedName>
    <definedName name="Makro_Name" localSheetId="1">'LocalVar Sound'!$E$16</definedName>
    <definedName name="Makro_Name" localSheetId="3">'Main mit Wechselblinker'!$E$16</definedName>
    <definedName name="Makro_Name" localSheetId="10">RGB_AmpelX!$E$15</definedName>
    <definedName name="Makro_Name" localSheetId="12">RGB_AmpelX_Fade!$E$15</definedName>
    <definedName name="Makro_Name" localSheetId="13">RGB_AmpelX_Fade_Off!$E$15</definedName>
    <definedName name="Makro_Name" localSheetId="11">RGB_AmpelX_Off!$E$15</definedName>
    <definedName name="Makro_Name" localSheetId="7">RGB_ConstrWarnLight!$E$15</definedName>
    <definedName name="Makro_Name">Main!$E$16</definedName>
    <definedName name="Mode" localSheetId="17">' Entry Signal3'!$E$10</definedName>
    <definedName name="Mode" localSheetId="2">'90.Int_Test_LocalVar_Pattern'!$E$10</definedName>
    <definedName name="Mode" localSheetId="8">AmpelX!$E$10</definedName>
    <definedName name="Mode" localSheetId="9">AmpelX_Off!$E$10</definedName>
    <definedName name="Mode" localSheetId="6">ConstrWarnLight!$E$10</definedName>
    <definedName name="Mode" localSheetId="15">'Dep Signal4'!$E$10</definedName>
    <definedName name="Mode" localSheetId="14">'Dep Signal4 RGB'!$E$10</definedName>
    <definedName name="Mode" localSheetId="16">'Entry Signal3 RGB'!$E$10</definedName>
    <definedName name="Mode" localSheetId="4">Heartbeat_Hue!$E$10</definedName>
    <definedName name="Mode" localSheetId="5">Heartbeat_Val!$E$10</definedName>
    <definedName name="Mode" localSheetId="18">'Ilumination Hue'!$E$10</definedName>
    <definedName name="Mode" localSheetId="19">'Ilumination Val'!$E$10</definedName>
    <definedName name="Mode" localSheetId="1">'LocalVar Sound'!$E$10</definedName>
    <definedName name="Mode" localSheetId="3">'Main mit Wechselblinker'!$E$10</definedName>
    <definedName name="Mode" localSheetId="10">RGB_AmpelX!$E$10</definedName>
    <definedName name="Mode" localSheetId="12">RGB_AmpelX_Fade!$E$10</definedName>
    <definedName name="Mode" localSheetId="13">RGB_AmpelX_Fade_Off!$E$10</definedName>
    <definedName name="Mode" localSheetId="11">RGB_AmpelX_Off!$E$10</definedName>
    <definedName name="Mode" localSheetId="7">RGB_ConstrWarnLight!$E$10</definedName>
    <definedName name="Mode">Main!$E$10</definedName>
    <definedName name="Pattern_Bytes" localSheetId="17">' Entry Signal3'!$E$34</definedName>
    <definedName name="Pattern_Bytes" localSheetId="2">'90.Int_Test_LocalVar_Pattern'!$E$34</definedName>
    <definedName name="Pattern_Bytes" localSheetId="8">AmpelX!$E$32</definedName>
    <definedName name="Pattern_Bytes" localSheetId="9">AmpelX_Off!$E$32</definedName>
    <definedName name="Pattern_Bytes" localSheetId="6">ConstrWarnLight!$E$32</definedName>
    <definedName name="Pattern_Bytes" localSheetId="15">'Dep Signal4'!$E$34</definedName>
    <definedName name="Pattern_Bytes" localSheetId="14">'Dep Signal4 RGB'!$E$34</definedName>
    <definedName name="Pattern_Bytes" localSheetId="16">'Entry Signal3 RGB'!$E$34</definedName>
    <definedName name="Pattern_Bytes" localSheetId="4">Heartbeat_Hue!$E$32</definedName>
    <definedName name="Pattern_Bytes" localSheetId="5">Heartbeat_Val!$E$32</definedName>
    <definedName name="Pattern_Bytes" localSheetId="18">'Ilumination Hue'!$E$32</definedName>
    <definedName name="Pattern_Bytes" localSheetId="19">'Ilumination Val'!$E$32</definedName>
    <definedName name="Pattern_Bytes" localSheetId="1">'LocalVar Sound'!$E$34</definedName>
    <definedName name="Pattern_Bytes" localSheetId="3">'Main mit Wechselblinker'!$E$33</definedName>
    <definedName name="Pattern_Bytes" localSheetId="10">RGB_AmpelX!$E$32</definedName>
    <definedName name="Pattern_Bytes" localSheetId="12">RGB_AmpelX_Fade!$E$32</definedName>
    <definedName name="Pattern_Bytes" localSheetId="13">RGB_AmpelX_Fade_Off!$E$32</definedName>
    <definedName name="Pattern_Bytes" localSheetId="11">RGB_AmpelX_Off!$E$32</definedName>
    <definedName name="Pattern_Bytes" localSheetId="7">RGB_ConstrWarnLight!$E$32</definedName>
    <definedName name="Pattern_Bytes">Main!$E$34</definedName>
    <definedName name="Pattern_u_FreeBits" localSheetId="17">' Entry Signal3'!$E$32</definedName>
    <definedName name="Pattern_u_FreeBits" localSheetId="2">'90.Int_Test_LocalVar_Pattern'!$E$32</definedName>
    <definedName name="Pattern_u_FreeBits" localSheetId="8">AmpelX!$E$30</definedName>
    <definedName name="Pattern_u_FreeBits" localSheetId="9">AmpelX_Off!$E$30</definedName>
    <definedName name="Pattern_u_FreeBits" localSheetId="6">ConstrWarnLight!$E$30</definedName>
    <definedName name="Pattern_u_FreeBits" localSheetId="15">'Dep Signal4'!$E$32</definedName>
    <definedName name="Pattern_u_FreeBits" localSheetId="14">'Dep Signal4 RGB'!$E$32</definedName>
    <definedName name="Pattern_u_FreeBits" localSheetId="16">'Entry Signal3 RGB'!$E$32</definedName>
    <definedName name="Pattern_u_FreeBits" localSheetId="4">Heartbeat_Hue!$E$30</definedName>
    <definedName name="Pattern_u_FreeBits" localSheetId="5">Heartbeat_Val!$E$30</definedName>
    <definedName name="Pattern_u_FreeBits" localSheetId="18">'Ilumination Hue'!$E$30</definedName>
    <definedName name="Pattern_u_FreeBits" localSheetId="19">'Ilumination Val'!$E$30</definedName>
    <definedName name="Pattern_u_FreeBits" localSheetId="1">'LocalVar Sound'!$E$32</definedName>
    <definedName name="Pattern_u_FreeBits" localSheetId="3">'Main mit Wechselblinker'!$E$31</definedName>
    <definedName name="Pattern_u_FreeBits" localSheetId="10">RGB_AmpelX!$E$30</definedName>
    <definedName name="Pattern_u_FreeBits" localSheetId="12">RGB_AmpelX_Fade!$E$30</definedName>
    <definedName name="Pattern_u_FreeBits" localSheetId="13">RGB_AmpelX_Fade_Off!$E$30</definedName>
    <definedName name="Pattern_u_FreeBits" localSheetId="11">RGB_AmpelX_Off!$E$30</definedName>
    <definedName name="Pattern_u_FreeBits" localSheetId="7">RGB_ConstrWarnLight!$E$30</definedName>
    <definedName name="Pattern_u_FreeBits">Main!$E$32</definedName>
    <definedName name="SchalterNr" localSheetId="17">' Entry Signal3'!$E$4</definedName>
    <definedName name="SchalterNr" localSheetId="2">'90.Int_Test_LocalVar_Pattern'!$E$4</definedName>
    <definedName name="SchalterNr" localSheetId="8">AmpelX!$E$4</definedName>
    <definedName name="SchalterNr" localSheetId="9">AmpelX_Off!$E$4</definedName>
    <definedName name="SchalterNr" localSheetId="6">ConstrWarnLight!$E$4</definedName>
    <definedName name="SchalterNr" localSheetId="15">'Dep Signal4'!$E$4</definedName>
    <definedName name="SchalterNr" localSheetId="14">'Dep Signal4 RGB'!$E$4</definedName>
    <definedName name="SchalterNr" localSheetId="16">'Entry Signal3 RGB'!$E$4</definedName>
    <definedName name="SchalterNr" localSheetId="4">Heartbeat_Hue!$E$4</definedName>
    <definedName name="SchalterNr" localSheetId="5">Heartbeat_Val!$E$4</definedName>
    <definedName name="SchalterNr" localSheetId="18">'Ilumination Hue'!$E$4</definedName>
    <definedName name="SchalterNr" localSheetId="19">'Ilumination Val'!$E$4</definedName>
    <definedName name="SchalterNr" localSheetId="1">'LocalVar Sound'!$E$4</definedName>
    <definedName name="SchalterNr" localSheetId="3">'Main mit Wechselblinker'!$E$4</definedName>
    <definedName name="SchalterNr" localSheetId="10">RGB_AmpelX!$E$4</definedName>
    <definedName name="SchalterNr" localSheetId="12">RGB_AmpelX_Fade!$E$4</definedName>
    <definedName name="SchalterNr" localSheetId="13">RGB_AmpelX_Fade_Off!$E$4</definedName>
    <definedName name="SchalterNr" localSheetId="11">RGB_AmpelX_Off!$E$4</definedName>
    <definedName name="SchalterNr" localSheetId="7">RGB_ConstrWarnLight!$E$4</definedName>
    <definedName name="SchalterNr">Main!$E$4</definedName>
    <definedName name="ShalterNr" localSheetId="17">' Entry Signal3'!$E$4</definedName>
    <definedName name="ShalterNr" localSheetId="2">'90.Int_Test_LocalVar_Pattern'!$E$4</definedName>
    <definedName name="ShalterNr" localSheetId="8">AmpelX!$E$4</definedName>
    <definedName name="ShalterNr" localSheetId="9">AmpelX_Off!$E$4</definedName>
    <definedName name="ShalterNr" localSheetId="6">ConstrWarnLight!$E$4</definedName>
    <definedName name="ShalterNr" localSheetId="15">'Dep Signal4'!$E$4</definedName>
    <definedName name="ShalterNr" localSheetId="14">'Dep Signal4 RGB'!$E$4</definedName>
    <definedName name="ShalterNr" localSheetId="16">'Entry Signal3 RGB'!$E$4</definedName>
    <definedName name="ShalterNr" localSheetId="4">Heartbeat_Hue!$E$4</definedName>
    <definedName name="ShalterNr" localSheetId="5">Heartbeat_Val!$E$4</definedName>
    <definedName name="ShalterNr" localSheetId="18">'Ilumination Hue'!$E$4</definedName>
    <definedName name="ShalterNr" localSheetId="19">'Ilumination Val'!$E$4</definedName>
    <definedName name="ShalterNr" localSheetId="1">'LocalVar Sound'!$E$4</definedName>
    <definedName name="ShalterNr" localSheetId="3">'Main mit Wechselblinker'!$E$4</definedName>
    <definedName name="ShalterNr" localSheetId="10">RGB_AmpelX!$E$4</definedName>
    <definedName name="ShalterNr" localSheetId="12">RGB_AmpelX_Fade!$E$4</definedName>
    <definedName name="ShalterNr" localSheetId="13">RGB_AmpelX_Fade_Off!$E$4</definedName>
    <definedName name="ShalterNr" localSheetId="11">RGB_AmpelX_Off!$E$4</definedName>
    <definedName name="ShalterNr" localSheetId="7">RGB_ConstrWarnLight!$E$4</definedName>
    <definedName name="ShalterNr">Main!$E$4</definedName>
    <definedName name="Start" localSheetId="17">' Entry Signal3'!$E$28</definedName>
    <definedName name="Start" localSheetId="2">'90.Int_Test_LocalVar_Pattern'!$E$28</definedName>
    <definedName name="Start" localSheetId="8">AmpelX!$E$27</definedName>
    <definedName name="Start" localSheetId="9">AmpelX_Off!$E$27</definedName>
    <definedName name="Start" localSheetId="6">ConstrWarnLight!$E$27</definedName>
    <definedName name="Start" localSheetId="15">'Dep Signal4'!$E$28</definedName>
    <definedName name="Start" localSheetId="14">'Dep Signal4 RGB'!$E$28</definedName>
    <definedName name="Start" localSheetId="16">'Entry Signal3 RGB'!$E$28</definedName>
    <definedName name="Start" localSheetId="4">Heartbeat_Hue!$E$27</definedName>
    <definedName name="Start" localSheetId="5">Heartbeat_Val!$E$27</definedName>
    <definedName name="Start" localSheetId="18">'Ilumination Hue'!$E$27</definedName>
    <definedName name="Start" localSheetId="19">'Ilumination Val'!$E$27</definedName>
    <definedName name="Start" localSheetId="1">'LocalVar Sound'!$E$28</definedName>
    <definedName name="Start" localSheetId="3">'Main mit Wechselblinker'!$E$28</definedName>
    <definedName name="Start" localSheetId="10">RGB_AmpelX!$E$27</definedName>
    <definedName name="Start" localSheetId="12">RGB_AmpelX_Fade!$E$27</definedName>
    <definedName name="Start" localSheetId="13">RGB_AmpelX_Fade_Off!$E$27</definedName>
    <definedName name="Start" localSheetId="11">RGB_AmpelX_Off!$E$27</definedName>
    <definedName name="Start" localSheetId="7">RGB_ConstrWarnLight!$E$27</definedName>
    <definedName name="Start">Main!$E$28</definedName>
    <definedName name="Startkanal" localSheetId="17">' Entry Signal3'!$E$3</definedName>
    <definedName name="Startkanal" localSheetId="2">'90.Int_Test_LocalVar_Pattern'!$E$3</definedName>
    <definedName name="Startkanal" localSheetId="8">AmpelX!$E$3</definedName>
    <definedName name="Startkanal" localSheetId="9">AmpelX_Off!$E$3</definedName>
    <definedName name="Startkanal" localSheetId="6">ConstrWarnLight!$E$3</definedName>
    <definedName name="Startkanal" localSheetId="15">'Dep Signal4'!$E$3</definedName>
    <definedName name="Startkanal" localSheetId="14">'Dep Signal4 RGB'!$E$3</definedName>
    <definedName name="Startkanal" localSheetId="16">'Entry Signal3 RGB'!$E$3</definedName>
    <definedName name="Startkanal" localSheetId="4">Heartbeat_Hue!$E$3</definedName>
    <definedName name="Startkanal" localSheetId="5">Heartbeat_Val!$E$3</definedName>
    <definedName name="Startkanal" localSheetId="18">'Ilumination Hue'!$E$3</definedName>
    <definedName name="Startkanal" localSheetId="19">'Ilumination Val'!$E$3</definedName>
    <definedName name="Startkanal" localSheetId="1">'LocalVar Sound'!$E$3</definedName>
    <definedName name="Startkanal" localSheetId="3">'Main mit Wechselblinker'!$E$3</definedName>
    <definedName name="Startkanal" localSheetId="10">RGB_AmpelX!$E$3</definedName>
    <definedName name="Startkanal" localSheetId="12">RGB_AmpelX_Fade!$E$3</definedName>
    <definedName name="Startkanal" localSheetId="13">RGB_AmpelX_Fade_Off!$E$3</definedName>
    <definedName name="Startkanal" localSheetId="11">RGB_AmpelX_Off!$E$3</definedName>
    <definedName name="Startkanal" localSheetId="7">RGB_ConstrWarnLight!$E$3</definedName>
    <definedName name="Startkanal">Main!$E$3</definedName>
    <definedName name="StCh_FreeBits_BpC" localSheetId="17">' Entry Signal3'!$E$30</definedName>
    <definedName name="StCh_FreeBits_BpC" localSheetId="2">'90.Int_Test_LocalVar_Pattern'!$E$30</definedName>
    <definedName name="StCh_FreeBits_BpC" localSheetId="8">AmpelX!$E$28</definedName>
    <definedName name="StCh_FreeBits_BpC" localSheetId="9">AmpelX_Off!$E$28</definedName>
    <definedName name="StCh_FreeBits_BpC" localSheetId="6">ConstrWarnLight!$E$28</definedName>
    <definedName name="StCh_FreeBits_BpC" localSheetId="15">'Dep Signal4'!$E$30</definedName>
    <definedName name="StCh_FreeBits_BpC" localSheetId="14">'Dep Signal4 RGB'!$E$30</definedName>
    <definedName name="StCh_FreeBits_BpC" localSheetId="16">'Entry Signal3 RGB'!$E$30</definedName>
    <definedName name="StCh_FreeBits_BpC" localSheetId="4">Heartbeat_Hue!$E$28</definedName>
    <definedName name="StCh_FreeBits_BpC" localSheetId="5">Heartbeat_Val!$E$28</definedName>
    <definedName name="StCh_FreeBits_BpC" localSheetId="18">'Ilumination Hue'!$E$28</definedName>
    <definedName name="StCh_FreeBits_BpC" localSheetId="19">'Ilumination Val'!$E$28</definedName>
    <definedName name="StCh_FreeBits_BpC" localSheetId="1">'LocalVar Sound'!$E$30</definedName>
    <definedName name="StCh_FreeBits_BpC" localSheetId="3">'Main mit Wechselblinker'!$E$29</definedName>
    <definedName name="StCh_FreeBits_BpC" localSheetId="10">RGB_AmpelX!$E$28</definedName>
    <definedName name="StCh_FreeBits_BpC" localSheetId="12">RGB_AmpelX_Fade!$E$28</definedName>
    <definedName name="StCh_FreeBits_BpC" localSheetId="13">RGB_AmpelX_Fade_Off!$E$28</definedName>
    <definedName name="StCh_FreeBits_BpC" localSheetId="11">RGB_AmpelX_Off!$E$28</definedName>
    <definedName name="StCh_FreeBits_BpC" localSheetId="7">RGB_ConstrWarnLight!$E$28</definedName>
    <definedName name="StCh_FreeBits_BpC">Main!$E$30</definedName>
    <definedName name="TimerBytes" localSheetId="17">' Entry Signal3'!$H$38</definedName>
    <definedName name="TimerBytes" localSheetId="2">'90.Int_Test_LocalVar_Pattern'!$H$38</definedName>
    <definedName name="TimerBytes" localSheetId="8">AmpelX!$H$35</definedName>
    <definedName name="TimerBytes" localSheetId="9">AmpelX_Off!$H$35</definedName>
    <definedName name="TimerBytes" localSheetId="6">ConstrWarnLight!$H$35</definedName>
    <definedName name="TimerBytes" localSheetId="15">'Dep Signal4'!$H$38</definedName>
    <definedName name="TimerBytes" localSheetId="14">'Dep Signal4 RGB'!$H$38</definedName>
    <definedName name="TimerBytes" localSheetId="16">'Entry Signal3 RGB'!$H$38</definedName>
    <definedName name="TimerBytes" localSheetId="4">Heartbeat_Hue!$H$35</definedName>
    <definedName name="TimerBytes" localSheetId="5">Heartbeat_Val!$H$35</definedName>
    <definedName name="TimerBytes" localSheetId="18">'Ilumination Hue'!$H$35</definedName>
    <definedName name="TimerBytes" localSheetId="19">'Ilumination Val'!$H$35</definedName>
    <definedName name="TimerBytes" localSheetId="1">'LocalVar Sound'!$H$38</definedName>
    <definedName name="TimerBytes" localSheetId="0">Main!$H$38</definedName>
    <definedName name="TimerBytes" localSheetId="3">'Main mit Wechselblinker'!$H$36</definedName>
    <definedName name="TimerBytes" localSheetId="10">RGB_AmpelX!$H$35</definedName>
    <definedName name="TimerBytes" localSheetId="12">RGB_AmpelX_Fade!$H$35</definedName>
    <definedName name="TimerBytes" localSheetId="13">RGB_AmpelX_Fade_Off!$H$35</definedName>
    <definedName name="TimerBytes" localSheetId="11">RGB_AmpelX_Off!$H$35</definedName>
    <definedName name="TimerBytes" localSheetId="7">RGB_ConstrWarnLight!$H$35</definedName>
    <definedName name="Wert_ausgeschaltet" localSheetId="17">' Entry Signal3'!$E$9</definedName>
    <definedName name="Wert_ausgeschaltet" localSheetId="2">'90.Int_Test_LocalVar_Pattern'!$E$9</definedName>
    <definedName name="Wert_ausgeschaltet" localSheetId="8">AmpelX!$E$9</definedName>
    <definedName name="Wert_ausgeschaltet" localSheetId="9">AmpelX_Off!$E$9</definedName>
    <definedName name="Wert_ausgeschaltet" localSheetId="6">ConstrWarnLight!$E$9</definedName>
    <definedName name="Wert_ausgeschaltet" localSheetId="15">'Dep Signal4'!$E$9</definedName>
    <definedName name="Wert_ausgeschaltet" localSheetId="14">'Dep Signal4 RGB'!$E$9</definedName>
    <definedName name="Wert_ausgeschaltet" localSheetId="16">'Entry Signal3 RGB'!$E$9</definedName>
    <definedName name="Wert_ausgeschaltet" localSheetId="4">Heartbeat_Hue!$E$9</definedName>
    <definedName name="Wert_ausgeschaltet" localSheetId="5">Heartbeat_Val!$E$9</definedName>
    <definedName name="Wert_ausgeschaltet" localSheetId="18">'Ilumination Hue'!$E$9</definedName>
    <definedName name="Wert_ausgeschaltet" localSheetId="19">'Ilumination Val'!$E$9</definedName>
    <definedName name="Wert_ausgeschaltet" localSheetId="1">'LocalVar Sound'!$E$9</definedName>
    <definedName name="Wert_ausgeschaltet" localSheetId="3">'Main mit Wechselblinker'!$E$9</definedName>
    <definedName name="Wert_ausgeschaltet" localSheetId="10">RGB_AmpelX!$E$9</definedName>
    <definedName name="Wert_ausgeschaltet" localSheetId="12">RGB_AmpelX_Fade!$E$9</definedName>
    <definedName name="Wert_ausgeschaltet" localSheetId="13">RGB_AmpelX_Fade_Off!$E$9</definedName>
    <definedName name="Wert_ausgeschaltet" localSheetId="11">RGB_AmpelX_Off!$E$9</definedName>
    <definedName name="Wert_ausgeschaltet" localSheetId="7">RGB_ConstrWarnLight!$E$9</definedName>
    <definedName name="Wert_ausgeschaltet">Main!$E$9</definedName>
    <definedName name="Wert_Min" localSheetId="17">' Entry Signal3'!$E$7</definedName>
    <definedName name="Wert_Min" localSheetId="2">'90.Int_Test_LocalVar_Pattern'!$E$7</definedName>
    <definedName name="Wert_Min" localSheetId="8">AmpelX!$E$7</definedName>
    <definedName name="Wert_Min" localSheetId="9">AmpelX_Off!$E$7</definedName>
    <definedName name="Wert_Min" localSheetId="6">ConstrWarnLight!$E$7</definedName>
    <definedName name="Wert_Min" localSheetId="15">'Dep Signal4'!$E$7</definedName>
    <definedName name="Wert_Min" localSheetId="14">'Dep Signal4 RGB'!$E$7</definedName>
    <definedName name="Wert_Min" localSheetId="16">'Entry Signal3 RGB'!$E$7</definedName>
    <definedName name="Wert_Min" localSheetId="4">Heartbeat_Hue!$E$7</definedName>
    <definedName name="Wert_Min" localSheetId="5">Heartbeat_Val!$E$7</definedName>
    <definedName name="Wert_Min" localSheetId="18">'Ilumination Hue'!$E$7</definedName>
    <definedName name="Wert_Min" localSheetId="19">'Ilumination Val'!$E$7</definedName>
    <definedName name="Wert_Min" localSheetId="1">'LocalVar Sound'!$E$7</definedName>
    <definedName name="Wert_Min" localSheetId="3">'Main mit Wechselblinker'!$E$7</definedName>
    <definedName name="Wert_Min" localSheetId="10">RGB_AmpelX!$E$7</definedName>
    <definedName name="Wert_Min" localSheetId="12">RGB_AmpelX_Fade!$E$7</definedName>
    <definedName name="Wert_Min" localSheetId="13">RGB_AmpelX_Fade_Off!$E$7</definedName>
    <definedName name="Wert_Min" localSheetId="11">RGB_AmpelX_Off!$E$7</definedName>
    <definedName name="Wert_Min" localSheetId="7">RGB_ConstrWarnLight!$E$7</definedName>
    <definedName name="Wert_Min">Main!$E$7</definedName>
    <definedName name="Wert0" localSheetId="17">' Entry Signal3'!$E$7</definedName>
    <definedName name="Wert0" localSheetId="2">'90.Int_Test_LocalVar_Pattern'!$E$7</definedName>
    <definedName name="Wert0" localSheetId="8">AmpelX!$E$7</definedName>
    <definedName name="Wert0" localSheetId="9">AmpelX_Off!$E$7</definedName>
    <definedName name="Wert0" localSheetId="6">ConstrWarnLight!$E$7</definedName>
    <definedName name="Wert0" localSheetId="15">'Dep Signal4'!$E$7</definedName>
    <definedName name="Wert0" localSheetId="14">'Dep Signal4 RGB'!$E$7</definedName>
    <definedName name="Wert0" localSheetId="16">'Entry Signal3 RGB'!$E$7</definedName>
    <definedName name="Wert0" localSheetId="4">Heartbeat_Hue!$E$7</definedName>
    <definedName name="Wert0" localSheetId="5">Heartbeat_Val!$E$7</definedName>
    <definedName name="Wert0" localSheetId="18">'Ilumination Hue'!$E$7</definedName>
    <definedName name="Wert0" localSheetId="19">'Ilumination Val'!$E$7</definedName>
    <definedName name="Wert0" localSheetId="1">'LocalVar Sound'!$E$7</definedName>
    <definedName name="Wert0" localSheetId="3">'Main mit Wechselblinker'!$E$7</definedName>
    <definedName name="Wert0" localSheetId="10">RGB_AmpelX!$E$7</definedName>
    <definedName name="Wert0" localSheetId="12">RGB_AmpelX_Fade!$E$7</definedName>
    <definedName name="Wert0" localSheetId="13">RGB_AmpelX_Fade_Off!$E$7</definedName>
    <definedName name="Wert0" localSheetId="11">RGB_AmpelX_Off!$E$7</definedName>
    <definedName name="Wert0" localSheetId="7">RGB_ConstrWarnLight!$E$7</definedName>
    <definedName name="Wert0">Main!$E$7</definedName>
    <definedName name="WertMax" localSheetId="17">' Entry Signal3'!$E$8</definedName>
    <definedName name="WertMax" localSheetId="2">'90.Int_Test_LocalVar_Pattern'!$E$8</definedName>
    <definedName name="WertMax" localSheetId="8">AmpelX!$E$8</definedName>
    <definedName name="WertMax" localSheetId="9">AmpelX_Off!$E$8</definedName>
    <definedName name="WertMax" localSheetId="6">ConstrWarnLight!$E$8</definedName>
    <definedName name="WertMax" localSheetId="15">'Dep Signal4'!$E$8</definedName>
    <definedName name="WertMax" localSheetId="14">'Dep Signal4 RGB'!$E$8</definedName>
    <definedName name="WertMax" localSheetId="16">'Entry Signal3 RGB'!$E$8</definedName>
    <definedName name="WertMax" localSheetId="4">Heartbeat_Hue!$E$8</definedName>
    <definedName name="WertMax" localSheetId="5">Heartbeat_Val!$E$8</definedName>
    <definedName name="WertMax" localSheetId="18">'Ilumination Hue'!$E$8</definedName>
    <definedName name="WertMax" localSheetId="19">'Ilumination Val'!$E$8</definedName>
    <definedName name="WertMax" localSheetId="1">'LocalVar Sound'!$E$8</definedName>
    <definedName name="WertMax" localSheetId="3">'Main mit Wechselblinker'!$E$8</definedName>
    <definedName name="WertMax" localSheetId="10">RGB_AmpelX!$E$8</definedName>
    <definedName name="WertMax" localSheetId="12">RGB_AmpelX_Fade!$E$8</definedName>
    <definedName name="WertMax" localSheetId="13">RGB_AmpelX_Fade_Off!$E$8</definedName>
    <definedName name="WertMax" localSheetId="11">RGB_AmpelX_Off!$E$8</definedName>
    <definedName name="WertMax" localSheetId="7">RGB_ConstrWarnLight!$E$8</definedName>
    <definedName name="WertMax">Main!$E$8</definedName>
    <definedName name="Zeiten" localSheetId="17">' Entry Signal3'!$E$25</definedName>
    <definedName name="Zeiten" localSheetId="2">'90.Int_Test_LocalVar_Pattern'!$E$25</definedName>
    <definedName name="Zeiten" localSheetId="8">AmpelX!$E$24</definedName>
    <definedName name="Zeiten" localSheetId="9">AmpelX_Off!$E$24</definedName>
    <definedName name="Zeiten" localSheetId="6">ConstrWarnLight!$E$24</definedName>
    <definedName name="Zeiten" localSheetId="15">'Dep Signal4'!$E$25</definedName>
    <definedName name="Zeiten" localSheetId="14">'Dep Signal4 RGB'!$E$25</definedName>
    <definedName name="Zeiten" localSheetId="16">'Entry Signal3 RGB'!$E$25</definedName>
    <definedName name="Zeiten" localSheetId="4">Heartbeat_Hue!$E$24</definedName>
    <definedName name="Zeiten" localSheetId="5">Heartbeat_Val!$E$24</definedName>
    <definedName name="Zeiten" localSheetId="18">'Ilumination Hue'!$E$24</definedName>
    <definedName name="Zeiten" localSheetId="19">'Ilumination Val'!$E$24</definedName>
    <definedName name="Zeiten" localSheetId="1">'LocalVar Sound'!$E$25</definedName>
    <definedName name="Zeiten" localSheetId="3">'Main mit Wechselblinker'!$E$25</definedName>
    <definedName name="Zeiten" localSheetId="10">RGB_AmpelX!$E$24</definedName>
    <definedName name="Zeiten" localSheetId="12">RGB_AmpelX_Fade!$E$24</definedName>
    <definedName name="Zeiten" localSheetId="13">RGB_AmpelX_Fade_Off!$E$24</definedName>
    <definedName name="Zeiten" localSheetId="11">RGB_AmpelX_Off!$E$24</definedName>
    <definedName name="Zeiten" localSheetId="7">RGB_ConstrWarnLight!$E$24</definedName>
    <definedName name="Zeiten">Main!$E$25</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6" i="50" l="1"/>
  <c r="C47" i="50" s="1"/>
  <c r="C48" i="50" s="1"/>
  <c r="C49" i="50" s="1"/>
  <c r="C50" i="50" s="1"/>
  <c r="C51" i="50" s="1"/>
  <c r="C52" i="50" s="1"/>
  <c r="C53" i="50" s="1"/>
  <c r="C54" i="50" s="1"/>
  <c r="C55" i="50" s="1"/>
  <c r="C56" i="50" s="1"/>
  <c r="C57" i="50" s="1"/>
  <c r="C58" i="50" s="1"/>
  <c r="C59" i="50" s="1"/>
  <c r="C60" i="50" s="1"/>
  <c r="C61" i="50" s="1"/>
  <c r="C62" i="50" s="1"/>
  <c r="C63" i="50" s="1"/>
  <c r="C64" i="50" s="1"/>
  <c r="C65" i="50" s="1"/>
  <c r="C66" i="50" s="1"/>
  <c r="C67" i="50" s="1"/>
  <c r="C68" i="50" s="1"/>
  <c r="C69" i="50" s="1"/>
  <c r="C70" i="50" s="1"/>
  <c r="C71" i="50" s="1"/>
  <c r="C72" i="50" s="1"/>
  <c r="C73" i="50" s="1"/>
  <c r="C74" i="50" s="1"/>
  <c r="C75" i="50" s="1"/>
  <c r="C76" i="50" s="1"/>
  <c r="C77" i="50" s="1"/>
  <c r="C78" i="50" s="1"/>
  <c r="C79" i="50" s="1"/>
  <c r="C80" i="50" s="1"/>
  <c r="C81" i="50" s="1"/>
  <c r="C82" i="50" s="1"/>
  <c r="C83" i="50" s="1"/>
  <c r="C45" i="50"/>
  <c r="D42" i="50"/>
  <c r="J29" i="50"/>
  <c r="H29" i="50"/>
  <c r="E29" i="50"/>
  <c r="E27" i="50"/>
  <c r="AJ23" i="50"/>
  <c r="AJ24" i="50" s="1"/>
  <c r="G9" i="50"/>
  <c r="G8" i="50"/>
  <c r="G7" i="50"/>
  <c r="G6" i="50"/>
  <c r="G5" i="50"/>
  <c r="G4" i="50"/>
  <c r="G3" i="50"/>
  <c r="G2" i="50"/>
  <c r="GM1" i="50"/>
  <c r="C45" i="49"/>
  <c r="C46" i="49" s="1"/>
  <c r="C47" i="49" s="1"/>
  <c r="C48" i="49" s="1"/>
  <c r="C49" i="49" s="1"/>
  <c r="C50" i="49" s="1"/>
  <c r="C51" i="49" s="1"/>
  <c r="C52" i="49" s="1"/>
  <c r="C53" i="49" s="1"/>
  <c r="C54" i="49" s="1"/>
  <c r="C55" i="49" s="1"/>
  <c r="C56" i="49" s="1"/>
  <c r="C57" i="49" s="1"/>
  <c r="C58" i="49" s="1"/>
  <c r="C59" i="49" s="1"/>
  <c r="C60" i="49" s="1"/>
  <c r="C61" i="49" s="1"/>
  <c r="C62" i="49" s="1"/>
  <c r="C63" i="49" s="1"/>
  <c r="C64" i="49" s="1"/>
  <c r="C65" i="49" s="1"/>
  <c r="C66" i="49" s="1"/>
  <c r="C67" i="49" s="1"/>
  <c r="C68" i="49" s="1"/>
  <c r="C69" i="49" s="1"/>
  <c r="C70" i="49" s="1"/>
  <c r="C71" i="49" s="1"/>
  <c r="C72" i="49" s="1"/>
  <c r="C73" i="49" s="1"/>
  <c r="C74" i="49" s="1"/>
  <c r="C75" i="49" s="1"/>
  <c r="C76" i="49" s="1"/>
  <c r="C77" i="49" s="1"/>
  <c r="C78" i="49" s="1"/>
  <c r="C79" i="49" s="1"/>
  <c r="C80" i="49" s="1"/>
  <c r="C81" i="49" s="1"/>
  <c r="C82" i="49" s="1"/>
  <c r="C83" i="49" s="1"/>
  <c r="D42" i="49"/>
  <c r="J29" i="49"/>
  <c r="H29" i="49"/>
  <c r="E29" i="49"/>
  <c r="E27" i="49"/>
  <c r="AJ23" i="49"/>
  <c r="AI23" i="49" s="1"/>
  <c r="G9" i="49"/>
  <c r="G8" i="49"/>
  <c r="G7" i="49"/>
  <c r="G6" i="49"/>
  <c r="G5" i="49"/>
  <c r="G4" i="49"/>
  <c r="G3" i="49"/>
  <c r="G2" i="49"/>
  <c r="GM1" i="49"/>
  <c r="E35" i="49"/>
  <c r="E32" i="50"/>
  <c r="E32" i="49"/>
  <c r="E35" i="50"/>
  <c r="E33" i="50" l="1"/>
  <c r="E34" i="50"/>
  <c r="K38" i="50" s="1"/>
  <c r="AI23" i="50"/>
  <c r="E34" i="49"/>
  <c r="K38" i="49" s="1"/>
  <c r="E33" i="49"/>
  <c r="AH23" i="49"/>
  <c r="AJ24" i="49"/>
  <c r="AI24" i="49" s="1"/>
  <c r="C45" i="48"/>
  <c r="C46" i="48" s="1"/>
  <c r="C47" i="48" s="1"/>
  <c r="C48" i="48" s="1"/>
  <c r="C49" i="48" s="1"/>
  <c r="C50" i="48" s="1"/>
  <c r="C51" i="48" s="1"/>
  <c r="C52" i="48" s="1"/>
  <c r="C53" i="48" s="1"/>
  <c r="C54" i="48" s="1"/>
  <c r="C55" i="48" s="1"/>
  <c r="C56" i="48" s="1"/>
  <c r="C57" i="48" s="1"/>
  <c r="C58" i="48" s="1"/>
  <c r="C59" i="48" s="1"/>
  <c r="C60" i="48" s="1"/>
  <c r="C61" i="48" s="1"/>
  <c r="C62" i="48" s="1"/>
  <c r="C63" i="48" s="1"/>
  <c r="C64" i="48" s="1"/>
  <c r="C65" i="48" s="1"/>
  <c r="C66" i="48" s="1"/>
  <c r="C67" i="48" s="1"/>
  <c r="C68" i="48" s="1"/>
  <c r="C69" i="48" s="1"/>
  <c r="C70" i="48" s="1"/>
  <c r="C71" i="48" s="1"/>
  <c r="C72" i="48" s="1"/>
  <c r="C73" i="48" s="1"/>
  <c r="C74" i="48" s="1"/>
  <c r="C75" i="48" s="1"/>
  <c r="C76" i="48" s="1"/>
  <c r="C77" i="48" s="1"/>
  <c r="C78" i="48" s="1"/>
  <c r="C79" i="48" s="1"/>
  <c r="C80" i="48" s="1"/>
  <c r="C81" i="48" s="1"/>
  <c r="C82" i="48" s="1"/>
  <c r="C83" i="48" s="1"/>
  <c r="D42" i="48"/>
  <c r="J29" i="48"/>
  <c r="H29" i="48"/>
  <c r="E29" i="48"/>
  <c r="E27" i="48"/>
  <c r="AJ23" i="48"/>
  <c r="AJ24" i="48" s="1"/>
  <c r="G9" i="48"/>
  <c r="G8" i="48"/>
  <c r="G7" i="48"/>
  <c r="G6" i="48"/>
  <c r="G5" i="48"/>
  <c r="G4" i="48"/>
  <c r="G3" i="48"/>
  <c r="G2" i="48"/>
  <c r="GM1" i="48"/>
  <c r="C46" i="47"/>
  <c r="C47" i="47" s="1"/>
  <c r="C48" i="47" s="1"/>
  <c r="C49" i="47" s="1"/>
  <c r="C50" i="47" s="1"/>
  <c r="C51" i="47" s="1"/>
  <c r="C52" i="47" s="1"/>
  <c r="C53" i="47" s="1"/>
  <c r="C54" i="47" s="1"/>
  <c r="C55" i="47" s="1"/>
  <c r="C56" i="47" s="1"/>
  <c r="C57" i="47" s="1"/>
  <c r="C58" i="47" s="1"/>
  <c r="C59" i="47" s="1"/>
  <c r="C60" i="47" s="1"/>
  <c r="C61" i="47" s="1"/>
  <c r="C62" i="47" s="1"/>
  <c r="C63" i="47" s="1"/>
  <c r="C64" i="47" s="1"/>
  <c r="C65" i="47" s="1"/>
  <c r="C66" i="47" s="1"/>
  <c r="C67" i="47" s="1"/>
  <c r="C68" i="47" s="1"/>
  <c r="C69" i="47" s="1"/>
  <c r="C70" i="47" s="1"/>
  <c r="C71" i="47" s="1"/>
  <c r="C72" i="47" s="1"/>
  <c r="C73" i="47" s="1"/>
  <c r="C74" i="47" s="1"/>
  <c r="C75" i="47" s="1"/>
  <c r="C76" i="47" s="1"/>
  <c r="C77" i="47" s="1"/>
  <c r="C78" i="47" s="1"/>
  <c r="C79" i="47" s="1"/>
  <c r="C80" i="47" s="1"/>
  <c r="C81" i="47" s="1"/>
  <c r="C82" i="47" s="1"/>
  <c r="C83" i="47" s="1"/>
  <c r="C45" i="47"/>
  <c r="D42" i="47"/>
  <c r="J29" i="47"/>
  <c r="H29" i="47"/>
  <c r="E29" i="47"/>
  <c r="E27" i="47"/>
  <c r="AJ23" i="47"/>
  <c r="AJ24" i="47" s="1"/>
  <c r="G9" i="47"/>
  <c r="G8" i="47"/>
  <c r="G7" i="47"/>
  <c r="G6" i="47"/>
  <c r="G5" i="47"/>
  <c r="G4" i="47"/>
  <c r="G3" i="47"/>
  <c r="G2" i="47"/>
  <c r="GM1" i="47"/>
  <c r="C45" i="46"/>
  <c r="C46" i="46" s="1"/>
  <c r="C47" i="46" s="1"/>
  <c r="C48" i="46" s="1"/>
  <c r="C49" i="46" s="1"/>
  <c r="C50" i="46" s="1"/>
  <c r="C51" i="46" s="1"/>
  <c r="C52" i="46" s="1"/>
  <c r="C53" i="46" s="1"/>
  <c r="C54" i="46" s="1"/>
  <c r="C55" i="46" s="1"/>
  <c r="C56" i="46" s="1"/>
  <c r="C57" i="46" s="1"/>
  <c r="C58" i="46" s="1"/>
  <c r="C59" i="46" s="1"/>
  <c r="C60" i="46" s="1"/>
  <c r="C61" i="46" s="1"/>
  <c r="C62" i="46" s="1"/>
  <c r="C63" i="46" s="1"/>
  <c r="C64" i="46" s="1"/>
  <c r="C65" i="46" s="1"/>
  <c r="C66" i="46" s="1"/>
  <c r="C67" i="46" s="1"/>
  <c r="C68" i="46" s="1"/>
  <c r="C69" i="46" s="1"/>
  <c r="C70" i="46" s="1"/>
  <c r="C71" i="46" s="1"/>
  <c r="C72" i="46" s="1"/>
  <c r="C73" i="46" s="1"/>
  <c r="C74" i="46" s="1"/>
  <c r="C75" i="46" s="1"/>
  <c r="C76" i="46" s="1"/>
  <c r="C77" i="46" s="1"/>
  <c r="C78" i="46" s="1"/>
  <c r="C79" i="46" s="1"/>
  <c r="C80" i="46" s="1"/>
  <c r="C81" i="46" s="1"/>
  <c r="C82" i="46" s="1"/>
  <c r="C83" i="46" s="1"/>
  <c r="D42" i="46"/>
  <c r="J29" i="46"/>
  <c r="H29" i="46"/>
  <c r="E29" i="46"/>
  <c r="E27" i="46"/>
  <c r="AJ23" i="46"/>
  <c r="AJ24" i="46" s="1"/>
  <c r="G9" i="46"/>
  <c r="G8" i="46"/>
  <c r="G7" i="46"/>
  <c r="G6" i="46"/>
  <c r="G5" i="46"/>
  <c r="G4" i="46"/>
  <c r="G3" i="46"/>
  <c r="G2" i="46"/>
  <c r="GM1" i="46"/>
  <c r="E35" i="48"/>
  <c r="E35" i="47"/>
  <c r="E32" i="47"/>
  <c r="E32" i="46"/>
  <c r="E35" i="46"/>
  <c r="E32" i="48"/>
  <c r="AI24" i="50" l="1"/>
  <c r="AH23" i="50"/>
  <c r="E31" i="50"/>
  <c r="E30" i="50"/>
  <c r="F30" i="50" s="1"/>
  <c r="AH24" i="49"/>
  <c r="AG23" i="49"/>
  <c r="E31" i="49"/>
  <c r="E30" i="49"/>
  <c r="F30" i="49" s="1"/>
  <c r="AI23" i="48"/>
  <c r="AI24" i="48" s="1"/>
  <c r="E33" i="48"/>
  <c r="E34" i="48"/>
  <c r="K38" i="48" s="1"/>
  <c r="E34" i="47"/>
  <c r="K38" i="47" s="1"/>
  <c r="E33" i="47"/>
  <c r="AI23" i="47"/>
  <c r="E34" i="46"/>
  <c r="K38" i="46" s="1"/>
  <c r="E33" i="46"/>
  <c r="AI23" i="46"/>
  <c r="C45" i="45"/>
  <c r="C46" i="45" s="1"/>
  <c r="C47" i="45" s="1"/>
  <c r="C48" i="45" s="1"/>
  <c r="C49" i="45" s="1"/>
  <c r="C50" i="45" s="1"/>
  <c r="C51" i="45" s="1"/>
  <c r="C52" i="45" s="1"/>
  <c r="C53" i="45" s="1"/>
  <c r="C54" i="45" s="1"/>
  <c r="C55" i="45" s="1"/>
  <c r="C56" i="45" s="1"/>
  <c r="C57" i="45" s="1"/>
  <c r="C58" i="45" s="1"/>
  <c r="C59" i="45" s="1"/>
  <c r="C60" i="45" s="1"/>
  <c r="C61" i="45" s="1"/>
  <c r="C62" i="45" s="1"/>
  <c r="C63" i="45" s="1"/>
  <c r="C64" i="45" s="1"/>
  <c r="C65" i="45" s="1"/>
  <c r="C66" i="45" s="1"/>
  <c r="C67" i="45" s="1"/>
  <c r="C68" i="45" s="1"/>
  <c r="C69" i="45" s="1"/>
  <c r="C70" i="45" s="1"/>
  <c r="C71" i="45" s="1"/>
  <c r="C72" i="45" s="1"/>
  <c r="C73" i="45" s="1"/>
  <c r="C74" i="45" s="1"/>
  <c r="C75" i="45" s="1"/>
  <c r="C76" i="45" s="1"/>
  <c r="C77" i="45" s="1"/>
  <c r="C78" i="45" s="1"/>
  <c r="C79" i="45" s="1"/>
  <c r="C80" i="45" s="1"/>
  <c r="C81" i="45" s="1"/>
  <c r="C82" i="45" s="1"/>
  <c r="C83" i="45" s="1"/>
  <c r="D42" i="45"/>
  <c r="J29" i="45"/>
  <c r="H29" i="45"/>
  <c r="E29" i="45"/>
  <c r="E27" i="45"/>
  <c r="AJ23" i="45"/>
  <c r="AJ24" i="45" s="1"/>
  <c r="G9" i="45"/>
  <c r="G8" i="45"/>
  <c r="G7" i="45"/>
  <c r="G6" i="45"/>
  <c r="G5" i="45"/>
  <c r="G4" i="45"/>
  <c r="G3" i="45"/>
  <c r="G2" i="45"/>
  <c r="GM1" i="45"/>
  <c r="J29" i="11"/>
  <c r="E29" i="11"/>
  <c r="H29" i="11"/>
  <c r="E35" i="45"/>
  <c r="E32" i="45"/>
  <c r="AH24" i="50" l="1"/>
  <c r="AG23" i="50"/>
  <c r="AG24" i="49"/>
  <c r="AF23" i="49"/>
  <c r="AH23" i="48"/>
  <c r="AG23" i="48" s="1"/>
  <c r="AH24" i="48"/>
  <c r="E31" i="48"/>
  <c r="E30" i="48"/>
  <c r="F30" i="48" s="1"/>
  <c r="AI24" i="47"/>
  <c r="AH23" i="47"/>
  <c r="E31" i="47"/>
  <c r="E30" i="47"/>
  <c r="F30" i="47" s="1"/>
  <c r="AI24" i="46"/>
  <c r="AH23" i="46"/>
  <c r="E31" i="46"/>
  <c r="E30" i="46"/>
  <c r="F30" i="46" s="1"/>
  <c r="E34" i="45"/>
  <c r="K38" i="45" s="1"/>
  <c r="E33" i="45"/>
  <c r="AI23" i="45"/>
  <c r="C43" i="44"/>
  <c r="C44" i="44" s="1"/>
  <c r="C45" i="44" s="1"/>
  <c r="C46" i="44" s="1"/>
  <c r="C47" i="44" s="1"/>
  <c r="C48" i="44" s="1"/>
  <c r="C49" i="44" s="1"/>
  <c r="C50" i="44" s="1"/>
  <c r="C51" i="44" s="1"/>
  <c r="C52" i="44" s="1"/>
  <c r="C53" i="44" s="1"/>
  <c r="C54" i="44" s="1"/>
  <c r="C55" i="44" s="1"/>
  <c r="C56" i="44" s="1"/>
  <c r="C57" i="44" s="1"/>
  <c r="C58" i="44" s="1"/>
  <c r="C59" i="44" s="1"/>
  <c r="C60" i="44" s="1"/>
  <c r="C61" i="44" s="1"/>
  <c r="C62" i="44" s="1"/>
  <c r="C63" i="44" s="1"/>
  <c r="C64" i="44" s="1"/>
  <c r="C65" i="44" s="1"/>
  <c r="C66" i="44" s="1"/>
  <c r="C67" i="44" s="1"/>
  <c r="C68" i="44" s="1"/>
  <c r="C69" i="44" s="1"/>
  <c r="C70" i="44" s="1"/>
  <c r="C71" i="44" s="1"/>
  <c r="C72" i="44" s="1"/>
  <c r="C73" i="44" s="1"/>
  <c r="C74" i="44" s="1"/>
  <c r="C75" i="44" s="1"/>
  <c r="C76" i="44" s="1"/>
  <c r="C77" i="44" s="1"/>
  <c r="C78" i="44" s="1"/>
  <c r="C79" i="44" s="1"/>
  <c r="C80" i="44" s="1"/>
  <c r="C81" i="44" s="1"/>
  <c r="D40" i="44"/>
  <c r="E27" i="44"/>
  <c r="AJ23" i="44"/>
  <c r="AJ24" i="44" s="1"/>
  <c r="G9" i="44"/>
  <c r="G8" i="44"/>
  <c r="G7" i="44"/>
  <c r="G6" i="44"/>
  <c r="G5" i="44"/>
  <c r="G4" i="44"/>
  <c r="G3" i="44"/>
  <c r="G2" i="44"/>
  <c r="GM1" i="44"/>
  <c r="E31" i="44"/>
  <c r="E35" i="11"/>
  <c r="AG24" i="50" l="1"/>
  <c r="AF23" i="50"/>
  <c r="AF24" i="49"/>
  <c r="AE23" i="49"/>
  <c r="AG24" i="48"/>
  <c r="AF23" i="48"/>
  <c r="AH24" i="47"/>
  <c r="AG23" i="47"/>
  <c r="AH24" i="46"/>
  <c r="AG23" i="46"/>
  <c r="E30" i="45"/>
  <c r="F30" i="45" s="1"/>
  <c r="E31" i="45"/>
  <c r="AI24" i="45"/>
  <c r="AH23" i="45"/>
  <c r="AI23" i="44"/>
  <c r="AH23" i="44" s="1"/>
  <c r="AG23" i="44" s="1"/>
  <c r="E33" i="44"/>
  <c r="K36" i="44" s="1"/>
  <c r="E32" i="44"/>
  <c r="AF24" i="50" l="1"/>
  <c r="AE23" i="50"/>
  <c r="AE24" i="49"/>
  <c r="AD23" i="49"/>
  <c r="AE23" i="48"/>
  <c r="AF24" i="48"/>
  <c r="AG24" i="47"/>
  <c r="AF23" i="47"/>
  <c r="AG24" i="46"/>
  <c r="AF23" i="46"/>
  <c r="AH24" i="45"/>
  <c r="AG23" i="45"/>
  <c r="AI24" i="44"/>
  <c r="AH24" i="44" s="1"/>
  <c r="AG24" i="44" s="1"/>
  <c r="AF23" i="44"/>
  <c r="E30" i="44"/>
  <c r="E29" i="44"/>
  <c r="F29" i="44" s="1"/>
  <c r="AD23" i="50" l="1"/>
  <c r="AE24" i="50"/>
  <c r="AC23" i="49"/>
  <c r="AD24" i="49"/>
  <c r="AD23" i="48"/>
  <c r="AE24" i="48"/>
  <c r="AF24" i="47"/>
  <c r="AE23" i="47"/>
  <c r="AF24" i="46"/>
  <c r="AE23" i="46"/>
  <c r="AG24" i="45"/>
  <c r="AF23" i="45"/>
  <c r="AF24" i="44"/>
  <c r="AE23" i="44"/>
  <c r="C41" i="42"/>
  <c r="C42" i="42" s="1"/>
  <c r="C43" i="42" s="1"/>
  <c r="C44" i="42" s="1"/>
  <c r="C45" i="42" s="1"/>
  <c r="C46" i="42" s="1"/>
  <c r="C47" i="42" s="1"/>
  <c r="C48" i="42" s="1"/>
  <c r="C49" i="42" s="1"/>
  <c r="C50" i="42" s="1"/>
  <c r="C51" i="42" s="1"/>
  <c r="C52" i="42" s="1"/>
  <c r="C53" i="42" s="1"/>
  <c r="C54" i="42" s="1"/>
  <c r="C55" i="42" s="1"/>
  <c r="C56" i="42" s="1"/>
  <c r="C57" i="42" s="1"/>
  <c r="C58" i="42" s="1"/>
  <c r="C59" i="42" s="1"/>
  <c r="C60" i="42" s="1"/>
  <c r="C61" i="42" s="1"/>
  <c r="C62" i="42" s="1"/>
  <c r="C63" i="42" s="1"/>
  <c r="C64" i="42" s="1"/>
  <c r="C65" i="42" s="1"/>
  <c r="C66" i="42" s="1"/>
  <c r="C67" i="42" s="1"/>
  <c r="C68" i="42" s="1"/>
  <c r="C69" i="42" s="1"/>
  <c r="C70" i="42" s="1"/>
  <c r="C71" i="42" s="1"/>
  <c r="C72" i="42" s="1"/>
  <c r="C73" i="42" s="1"/>
  <c r="C74" i="42" s="1"/>
  <c r="C75" i="42" s="1"/>
  <c r="C76" i="42" s="1"/>
  <c r="C77" i="42" s="1"/>
  <c r="C78" i="42" s="1"/>
  <c r="C79" i="42" s="1"/>
  <c r="D38" i="42"/>
  <c r="E26" i="42"/>
  <c r="AJ22" i="42"/>
  <c r="AJ23" i="42" s="1"/>
  <c r="G9" i="42"/>
  <c r="G8" i="42"/>
  <c r="G7" i="42"/>
  <c r="G6" i="42"/>
  <c r="G5" i="42"/>
  <c r="G4" i="42"/>
  <c r="G3" i="42"/>
  <c r="G2" i="42"/>
  <c r="GM1" i="42"/>
  <c r="C41" i="41"/>
  <c r="C42" i="41" s="1"/>
  <c r="C43" i="41" s="1"/>
  <c r="C44" i="41" s="1"/>
  <c r="C45" i="41" s="1"/>
  <c r="C46" i="41" s="1"/>
  <c r="C47" i="41" s="1"/>
  <c r="C48" i="41" s="1"/>
  <c r="C49" i="41" s="1"/>
  <c r="C50" i="41" s="1"/>
  <c r="C51" i="41" s="1"/>
  <c r="C52" i="41" s="1"/>
  <c r="C53" i="41" s="1"/>
  <c r="C54" i="41" s="1"/>
  <c r="C55" i="41" s="1"/>
  <c r="C56" i="41" s="1"/>
  <c r="C57" i="41" s="1"/>
  <c r="C58" i="41" s="1"/>
  <c r="C59" i="41" s="1"/>
  <c r="C60" i="41" s="1"/>
  <c r="C61" i="41" s="1"/>
  <c r="C62" i="41" s="1"/>
  <c r="C63" i="41" s="1"/>
  <c r="C64" i="41" s="1"/>
  <c r="C65" i="41" s="1"/>
  <c r="C66" i="41" s="1"/>
  <c r="C67" i="41" s="1"/>
  <c r="C68" i="41" s="1"/>
  <c r="C69" i="41" s="1"/>
  <c r="C70" i="41" s="1"/>
  <c r="C71" i="41" s="1"/>
  <c r="C72" i="41" s="1"/>
  <c r="C73" i="41" s="1"/>
  <c r="C74" i="41" s="1"/>
  <c r="C75" i="41" s="1"/>
  <c r="C76" i="41" s="1"/>
  <c r="C77" i="41" s="1"/>
  <c r="C78" i="41" s="1"/>
  <c r="C79" i="41" s="1"/>
  <c r="D38" i="41"/>
  <c r="E26" i="41"/>
  <c r="AJ22" i="41"/>
  <c r="AJ23" i="41" s="1"/>
  <c r="G9" i="41"/>
  <c r="G8" i="41"/>
  <c r="G7" i="41"/>
  <c r="G6" i="41"/>
  <c r="G5" i="41"/>
  <c r="G4" i="41"/>
  <c r="G3" i="41"/>
  <c r="G2" i="41"/>
  <c r="GM1" i="41"/>
  <c r="G5" i="32"/>
  <c r="G5" i="22"/>
  <c r="G5" i="30"/>
  <c r="G5" i="21"/>
  <c r="G5" i="31"/>
  <c r="G5" i="23"/>
  <c r="G5" i="36"/>
  <c r="G5" i="35"/>
  <c r="G5" i="34"/>
  <c r="G5" i="33"/>
  <c r="G5" i="11"/>
  <c r="C41" i="36"/>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76" i="36" s="1"/>
  <c r="C77" i="36" s="1"/>
  <c r="C78" i="36" s="1"/>
  <c r="C79" i="36" s="1"/>
  <c r="D38" i="36"/>
  <c r="E26" i="36"/>
  <c r="AJ22" i="36"/>
  <c r="AJ23" i="36" s="1"/>
  <c r="G9" i="36"/>
  <c r="G8" i="36"/>
  <c r="G7" i="36"/>
  <c r="G6" i="36"/>
  <c r="G4" i="36"/>
  <c r="G3" i="36"/>
  <c r="G2" i="36"/>
  <c r="GM1" i="36"/>
  <c r="C41" i="35"/>
  <c r="C42" i="35" s="1"/>
  <c r="C43" i="35" s="1"/>
  <c r="C44" i="35" s="1"/>
  <c r="C45" i="35" s="1"/>
  <c r="C46" i="35" s="1"/>
  <c r="C47" i="35" s="1"/>
  <c r="C48" i="35" s="1"/>
  <c r="C49" i="35" s="1"/>
  <c r="C50" i="35" s="1"/>
  <c r="C51" i="35" s="1"/>
  <c r="C52" i="35" s="1"/>
  <c r="C53" i="35" s="1"/>
  <c r="C54" i="35" s="1"/>
  <c r="C55" i="35" s="1"/>
  <c r="C56" i="35" s="1"/>
  <c r="C57" i="35" s="1"/>
  <c r="C58" i="35" s="1"/>
  <c r="C59" i="35" s="1"/>
  <c r="C60" i="35" s="1"/>
  <c r="C61" i="35" s="1"/>
  <c r="C62" i="35" s="1"/>
  <c r="C63" i="35" s="1"/>
  <c r="C64" i="35" s="1"/>
  <c r="C65" i="35" s="1"/>
  <c r="C66" i="35" s="1"/>
  <c r="C67" i="35" s="1"/>
  <c r="C68" i="35" s="1"/>
  <c r="C69" i="35" s="1"/>
  <c r="C70" i="35" s="1"/>
  <c r="C71" i="35" s="1"/>
  <c r="C72" i="35" s="1"/>
  <c r="C73" i="35" s="1"/>
  <c r="C74" i="35" s="1"/>
  <c r="C75" i="35" s="1"/>
  <c r="C76" i="35" s="1"/>
  <c r="C77" i="35" s="1"/>
  <c r="C78" i="35" s="1"/>
  <c r="C79" i="35" s="1"/>
  <c r="D38" i="35"/>
  <c r="E26" i="35"/>
  <c r="AJ22" i="35"/>
  <c r="AJ23" i="35" s="1"/>
  <c r="G9" i="35"/>
  <c r="G8" i="35"/>
  <c r="G7" i="35"/>
  <c r="G6" i="35"/>
  <c r="G4" i="35"/>
  <c r="G3" i="35"/>
  <c r="G2" i="35"/>
  <c r="GM1" i="35"/>
  <c r="E30" i="41"/>
  <c r="E30" i="35"/>
  <c r="E30" i="36"/>
  <c r="E30" i="42"/>
  <c r="AD24" i="50" l="1"/>
  <c r="AC23" i="50"/>
  <c r="AC24" i="49"/>
  <c r="AB23" i="49"/>
  <c r="AI22" i="41"/>
  <c r="AH22" i="41" s="1"/>
  <c r="AG22" i="41" s="1"/>
  <c r="AD24" i="48"/>
  <c r="AC23" i="48"/>
  <c r="AD23" i="47"/>
  <c r="AE24" i="47"/>
  <c r="AD23" i="46"/>
  <c r="AE24" i="46"/>
  <c r="AF24" i="45"/>
  <c r="AE23" i="45"/>
  <c r="AI22" i="42"/>
  <c r="AH22" i="42" s="1"/>
  <c r="AD23" i="44"/>
  <c r="AE24" i="44"/>
  <c r="E32" i="42"/>
  <c r="K35" i="42" s="1"/>
  <c r="E31" i="42"/>
  <c r="AG22" i="42"/>
  <c r="AI23" i="42"/>
  <c r="AH23" i="42" s="1"/>
  <c r="E32" i="41"/>
  <c r="K35" i="41" s="1"/>
  <c r="E31" i="41"/>
  <c r="AI23" i="41"/>
  <c r="AH23" i="41" s="1"/>
  <c r="E32" i="35"/>
  <c r="K35" i="35" s="1"/>
  <c r="E32" i="36"/>
  <c r="K35" i="36" s="1"/>
  <c r="AI22" i="36"/>
  <c r="AH22" i="36" s="1"/>
  <c r="E31" i="36"/>
  <c r="E31" i="35"/>
  <c r="AI22" i="35"/>
  <c r="AC24" i="50" l="1"/>
  <c r="AB23" i="50"/>
  <c r="AA23" i="49"/>
  <c r="AB24" i="49"/>
  <c r="AC24" i="48"/>
  <c r="AB23" i="48"/>
  <c r="AC23" i="47"/>
  <c r="AD24" i="47"/>
  <c r="AC23" i="46"/>
  <c r="AD24" i="46"/>
  <c r="AE24" i="45"/>
  <c r="AD23" i="45"/>
  <c r="AD24" i="44"/>
  <c r="AC23" i="44"/>
  <c r="AG23" i="42"/>
  <c r="AF22" i="42"/>
  <c r="E29" i="42"/>
  <c r="E28" i="42"/>
  <c r="F28" i="42" s="1"/>
  <c r="AG23" i="41"/>
  <c r="AF22" i="41"/>
  <c r="E29" i="41"/>
  <c r="E28" i="41"/>
  <c r="F28" i="41" s="1"/>
  <c r="AI23" i="36"/>
  <c r="AH23" i="36" s="1"/>
  <c r="AG22" i="36"/>
  <c r="AF22" i="36" s="1"/>
  <c r="E29" i="36"/>
  <c r="E28" i="36"/>
  <c r="F28" i="36" s="1"/>
  <c r="AH22" i="35"/>
  <c r="AI23" i="35"/>
  <c r="E29" i="35"/>
  <c r="E28" i="35"/>
  <c r="F28" i="35" s="1"/>
  <c r="AB24" i="50" l="1"/>
  <c r="AA23" i="50"/>
  <c r="AA24" i="49"/>
  <c r="Z23" i="49"/>
  <c r="AB24" i="48"/>
  <c r="AA23" i="48"/>
  <c r="AC24" i="47"/>
  <c r="AB23" i="47"/>
  <c r="AC24" i="46"/>
  <c r="AB23" i="46"/>
  <c r="AC23" i="45"/>
  <c r="AD24" i="45"/>
  <c r="AC24" i="44"/>
  <c r="AB23" i="44"/>
  <c r="AF23" i="42"/>
  <c r="AE22" i="42"/>
  <c r="AF23" i="41"/>
  <c r="AE22" i="41"/>
  <c r="AG23" i="36"/>
  <c r="AF23" i="36" s="1"/>
  <c r="AE22" i="36"/>
  <c r="AH23" i="35"/>
  <c r="AG22" i="35"/>
  <c r="AA24" i="50" l="1"/>
  <c r="Z23" i="50"/>
  <c r="Z24" i="49"/>
  <c r="Y23" i="49"/>
  <c r="AA24" i="48"/>
  <c r="Z23" i="48"/>
  <c r="AB24" i="47"/>
  <c r="AA23" i="47"/>
  <c r="AB24" i="46"/>
  <c r="AA23" i="46"/>
  <c r="AB23" i="45"/>
  <c r="AC24" i="45"/>
  <c r="AB24" i="44"/>
  <c r="AA23" i="44"/>
  <c r="AE23" i="42"/>
  <c r="AD22" i="42"/>
  <c r="AE23" i="41"/>
  <c r="AD22" i="41"/>
  <c r="AE23" i="36"/>
  <c r="AD22" i="36"/>
  <c r="AG23" i="35"/>
  <c r="AF22" i="35"/>
  <c r="C41" i="34"/>
  <c r="C42" i="34" s="1"/>
  <c r="C43" i="34" s="1"/>
  <c r="C44" i="34" s="1"/>
  <c r="C45" i="34" s="1"/>
  <c r="C46" i="34" s="1"/>
  <c r="C47" i="34" s="1"/>
  <c r="C48" i="34" s="1"/>
  <c r="C49" i="34" s="1"/>
  <c r="C50" i="34" s="1"/>
  <c r="C51" i="34" s="1"/>
  <c r="C52" i="34" s="1"/>
  <c r="C53" i="34" s="1"/>
  <c r="C54" i="34" s="1"/>
  <c r="C55" i="34" s="1"/>
  <c r="C56" i="34" s="1"/>
  <c r="C57" i="34" s="1"/>
  <c r="C58" i="34" s="1"/>
  <c r="C59" i="34" s="1"/>
  <c r="C60" i="34" s="1"/>
  <c r="C61" i="34" s="1"/>
  <c r="C62" i="34" s="1"/>
  <c r="C63" i="34" s="1"/>
  <c r="C64" i="34" s="1"/>
  <c r="C65" i="34" s="1"/>
  <c r="C66" i="34" s="1"/>
  <c r="C67" i="34" s="1"/>
  <c r="C68" i="34" s="1"/>
  <c r="C69" i="34" s="1"/>
  <c r="C70" i="34" s="1"/>
  <c r="C71" i="34" s="1"/>
  <c r="C72" i="34" s="1"/>
  <c r="C73" i="34" s="1"/>
  <c r="C74" i="34" s="1"/>
  <c r="C75" i="34" s="1"/>
  <c r="C76" i="34" s="1"/>
  <c r="C77" i="34" s="1"/>
  <c r="C78" i="34" s="1"/>
  <c r="C79" i="34" s="1"/>
  <c r="D38" i="34"/>
  <c r="E26" i="34"/>
  <c r="AJ22" i="34"/>
  <c r="AJ23" i="34" s="1"/>
  <c r="G9" i="34"/>
  <c r="G8" i="34"/>
  <c r="G7" i="34"/>
  <c r="G6" i="34"/>
  <c r="G4" i="34"/>
  <c r="G3" i="34"/>
  <c r="G2" i="34"/>
  <c r="GM1" i="34"/>
  <c r="C41" i="33"/>
  <c r="C42" i="33" s="1"/>
  <c r="C43" i="33" s="1"/>
  <c r="C44" i="33" s="1"/>
  <c r="C45" i="33" s="1"/>
  <c r="C46" i="33" s="1"/>
  <c r="C47" i="33" s="1"/>
  <c r="C48" i="33" s="1"/>
  <c r="C49" i="33" s="1"/>
  <c r="C50" i="33" s="1"/>
  <c r="C51" i="33" s="1"/>
  <c r="C52" i="33" s="1"/>
  <c r="C53" i="33" s="1"/>
  <c r="C54" i="33" s="1"/>
  <c r="C55" i="33" s="1"/>
  <c r="C56" i="33" s="1"/>
  <c r="C57" i="33" s="1"/>
  <c r="C58" i="33" s="1"/>
  <c r="C59" i="33" s="1"/>
  <c r="C60" i="33" s="1"/>
  <c r="C61" i="33" s="1"/>
  <c r="C62" i="33" s="1"/>
  <c r="C63" i="33" s="1"/>
  <c r="C64" i="33" s="1"/>
  <c r="C65" i="33" s="1"/>
  <c r="C66" i="33" s="1"/>
  <c r="C67" i="33" s="1"/>
  <c r="C68" i="33" s="1"/>
  <c r="C69" i="33" s="1"/>
  <c r="C70" i="33" s="1"/>
  <c r="C71" i="33" s="1"/>
  <c r="C72" i="33" s="1"/>
  <c r="C73" i="33" s="1"/>
  <c r="C74" i="33" s="1"/>
  <c r="C75" i="33" s="1"/>
  <c r="C76" i="33" s="1"/>
  <c r="C77" i="33" s="1"/>
  <c r="C78" i="33" s="1"/>
  <c r="C79" i="33" s="1"/>
  <c r="D38" i="33"/>
  <c r="E26" i="33"/>
  <c r="AJ22" i="33"/>
  <c r="AJ23" i="33" s="1"/>
  <c r="G9" i="33"/>
  <c r="G8" i="33"/>
  <c r="G7" i="33"/>
  <c r="G6" i="33"/>
  <c r="G4" i="33"/>
  <c r="G3" i="33"/>
  <c r="G2" i="33"/>
  <c r="GM1" i="33"/>
  <c r="N21" i="22"/>
  <c r="O21" i="22"/>
  <c r="P21" i="22"/>
  <c r="Q21" i="22"/>
  <c r="R21" i="22"/>
  <c r="S21" i="22"/>
  <c r="T21" i="22"/>
  <c r="M21" i="22"/>
  <c r="C41" i="32"/>
  <c r="C42" i="32" s="1"/>
  <c r="C43" i="32" s="1"/>
  <c r="C44" i="32" s="1"/>
  <c r="C45" i="32" s="1"/>
  <c r="C46" i="32" s="1"/>
  <c r="C47" i="32" s="1"/>
  <c r="C48" i="32" s="1"/>
  <c r="C49" i="32" s="1"/>
  <c r="C50" i="32" s="1"/>
  <c r="C51" i="32" s="1"/>
  <c r="C52" i="32" s="1"/>
  <c r="C53" i="32" s="1"/>
  <c r="C54" i="32" s="1"/>
  <c r="C55" i="32" s="1"/>
  <c r="C56" i="32" s="1"/>
  <c r="C57" i="32" s="1"/>
  <c r="C58" i="32" s="1"/>
  <c r="C59" i="32" s="1"/>
  <c r="C60" i="32" s="1"/>
  <c r="C61" i="32" s="1"/>
  <c r="C62" i="32" s="1"/>
  <c r="C63" i="32" s="1"/>
  <c r="C64" i="32" s="1"/>
  <c r="C65" i="32" s="1"/>
  <c r="C66" i="32" s="1"/>
  <c r="C67" i="32" s="1"/>
  <c r="C68" i="32" s="1"/>
  <c r="C69" i="32" s="1"/>
  <c r="C70" i="32" s="1"/>
  <c r="C71" i="32" s="1"/>
  <c r="C72" i="32" s="1"/>
  <c r="C73" i="32" s="1"/>
  <c r="C74" i="32" s="1"/>
  <c r="C75" i="32" s="1"/>
  <c r="C76" i="32" s="1"/>
  <c r="C77" i="32" s="1"/>
  <c r="C78" i="32" s="1"/>
  <c r="C79" i="32" s="1"/>
  <c r="D38" i="32"/>
  <c r="E26" i="32"/>
  <c r="AJ22" i="32"/>
  <c r="AJ23" i="32" s="1"/>
  <c r="G9" i="32"/>
  <c r="G8" i="32"/>
  <c r="G7" i="32"/>
  <c r="G6" i="32"/>
  <c r="G4" i="32"/>
  <c r="G3" i="32"/>
  <c r="G2" i="32"/>
  <c r="GM1" i="32"/>
  <c r="C41" i="31"/>
  <c r="C42" i="31" s="1"/>
  <c r="C43" i="31" s="1"/>
  <c r="C44" i="31" s="1"/>
  <c r="C45" i="31" s="1"/>
  <c r="C46" i="31" s="1"/>
  <c r="C47" i="31" s="1"/>
  <c r="C48" i="31" s="1"/>
  <c r="C49" i="31" s="1"/>
  <c r="C50" i="31" s="1"/>
  <c r="C51" i="31" s="1"/>
  <c r="C52" i="31" s="1"/>
  <c r="C53" i="31" s="1"/>
  <c r="C54" i="31" s="1"/>
  <c r="C55" i="31" s="1"/>
  <c r="C56" i="31" s="1"/>
  <c r="C57" i="31" s="1"/>
  <c r="C58" i="31" s="1"/>
  <c r="C59" i="31" s="1"/>
  <c r="C60" i="31" s="1"/>
  <c r="C61" i="31" s="1"/>
  <c r="C62" i="31" s="1"/>
  <c r="C63" i="31" s="1"/>
  <c r="C64" i="31" s="1"/>
  <c r="C65" i="31" s="1"/>
  <c r="C66" i="31" s="1"/>
  <c r="C67" i="31" s="1"/>
  <c r="C68" i="31" s="1"/>
  <c r="C69" i="31" s="1"/>
  <c r="C70" i="31" s="1"/>
  <c r="C71" i="31" s="1"/>
  <c r="C72" i="31" s="1"/>
  <c r="C73" i="31" s="1"/>
  <c r="C74" i="31" s="1"/>
  <c r="C75" i="31" s="1"/>
  <c r="C76" i="31" s="1"/>
  <c r="C77" i="31" s="1"/>
  <c r="C78" i="31" s="1"/>
  <c r="C79" i="31" s="1"/>
  <c r="D38" i="31"/>
  <c r="E26" i="31"/>
  <c r="AJ22" i="31"/>
  <c r="AJ23" i="31" s="1"/>
  <c r="AI22" i="31"/>
  <c r="AH22" i="31" s="1"/>
  <c r="AG22" i="31" s="1"/>
  <c r="G9" i="31"/>
  <c r="G8" i="31"/>
  <c r="G7" i="31"/>
  <c r="G6" i="31"/>
  <c r="G4" i="31"/>
  <c r="G3" i="31"/>
  <c r="G2" i="31"/>
  <c r="GM1" i="31"/>
  <c r="C41" i="30"/>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C70" i="30" s="1"/>
  <c r="C71" i="30" s="1"/>
  <c r="C72" i="30" s="1"/>
  <c r="C73" i="30" s="1"/>
  <c r="C74" i="30" s="1"/>
  <c r="C75" i="30" s="1"/>
  <c r="C76" i="30" s="1"/>
  <c r="C77" i="30" s="1"/>
  <c r="C78" i="30" s="1"/>
  <c r="C79" i="30" s="1"/>
  <c r="D38" i="30"/>
  <c r="E26" i="30"/>
  <c r="AJ22" i="30"/>
  <c r="AJ23" i="30" s="1"/>
  <c r="G9" i="30"/>
  <c r="G8" i="30"/>
  <c r="G7" i="30"/>
  <c r="G6" i="30"/>
  <c r="G4" i="30"/>
  <c r="G3" i="30"/>
  <c r="G2" i="30"/>
  <c r="GM1" i="30"/>
  <c r="G6" i="22"/>
  <c r="G6" i="23"/>
  <c r="G6" i="21"/>
  <c r="E26" i="22"/>
  <c r="E26" i="23"/>
  <c r="E26" i="21"/>
  <c r="E27" i="11"/>
  <c r="E30" i="33"/>
  <c r="E30" i="32"/>
  <c r="E30" i="31"/>
  <c r="E30" i="30"/>
  <c r="E30" i="34"/>
  <c r="Z24" i="50" l="1"/>
  <c r="Y23" i="50"/>
  <c r="Y24" i="49"/>
  <c r="X23" i="49"/>
  <c r="Z24" i="48"/>
  <c r="Y23" i="48"/>
  <c r="AA24" i="47"/>
  <c r="Z23" i="47"/>
  <c r="AA24" i="46"/>
  <c r="Z23" i="46"/>
  <c r="AB24" i="45"/>
  <c r="AA23" i="45"/>
  <c r="AI22" i="34"/>
  <c r="AH22" i="34" s="1"/>
  <c r="Z23" i="44"/>
  <c r="AA24" i="44"/>
  <c r="AC22" i="42"/>
  <c r="AD23" i="42"/>
  <c r="AC22" i="41"/>
  <c r="AD23" i="41"/>
  <c r="E32" i="31"/>
  <c r="K35" i="31" s="1"/>
  <c r="E32" i="32"/>
  <c r="K35" i="32" s="1"/>
  <c r="E32" i="34"/>
  <c r="K35" i="34" s="1"/>
  <c r="E32" i="33"/>
  <c r="K35" i="33" s="1"/>
  <c r="E32" i="30"/>
  <c r="K35" i="30" s="1"/>
  <c r="AD23" i="36"/>
  <c r="AC22" i="36"/>
  <c r="AF23" i="35"/>
  <c r="AE22" i="35"/>
  <c r="E31" i="34"/>
  <c r="AG22" i="34"/>
  <c r="E31" i="33"/>
  <c r="AI22" i="33"/>
  <c r="E31" i="32"/>
  <c r="AI22" i="32"/>
  <c r="E31" i="31"/>
  <c r="AF22" i="31"/>
  <c r="AI23" i="31"/>
  <c r="AH23" i="31" s="1"/>
  <c r="AG23" i="31" s="1"/>
  <c r="E31" i="30"/>
  <c r="AI22" i="30"/>
  <c r="Y24" i="50" l="1"/>
  <c r="X23" i="50"/>
  <c r="X24" i="49"/>
  <c r="W23" i="49"/>
  <c r="Y24" i="48"/>
  <c r="X23" i="48"/>
  <c r="Z24" i="47"/>
  <c r="Y23" i="47"/>
  <c r="Z24" i="46"/>
  <c r="Y23" i="46"/>
  <c r="AI23" i="34"/>
  <c r="AH23" i="34" s="1"/>
  <c r="AA24" i="45"/>
  <c r="Z23" i="45"/>
  <c r="Z24" i="44"/>
  <c r="Y23" i="44"/>
  <c r="AC23" i="42"/>
  <c r="AB22" i="42"/>
  <c r="AC23" i="41"/>
  <c r="AB22" i="41"/>
  <c r="AC23" i="36"/>
  <c r="AB22" i="36"/>
  <c r="AE23" i="35"/>
  <c r="AD22" i="35"/>
  <c r="E29" i="34"/>
  <c r="E28" i="34"/>
  <c r="F28" i="34" s="1"/>
  <c r="AG23" i="34"/>
  <c r="AF22" i="34"/>
  <c r="AH22" i="33"/>
  <c r="AI23" i="33"/>
  <c r="E29" i="33"/>
  <c r="E28" i="33"/>
  <c r="F28" i="33" s="1"/>
  <c r="AH22" i="32"/>
  <c r="AI23" i="32"/>
  <c r="E29" i="32"/>
  <c r="E28" i="32"/>
  <c r="F28" i="32" s="1"/>
  <c r="AF23" i="31"/>
  <c r="AE22" i="31"/>
  <c r="E28" i="31"/>
  <c r="F28" i="31" s="1"/>
  <c r="E29" i="31"/>
  <c r="AI23" i="30"/>
  <c r="AH22" i="30"/>
  <c r="E28" i="30"/>
  <c r="F28" i="30" s="1"/>
  <c r="E29" i="30"/>
  <c r="W23" i="50" l="1"/>
  <c r="X24" i="50"/>
  <c r="W24" i="49"/>
  <c r="V23" i="49"/>
  <c r="W23" i="48"/>
  <c r="X24" i="48"/>
  <c r="Y24" i="47"/>
  <c r="X23" i="47"/>
  <c r="Y24" i="46"/>
  <c r="X23" i="46"/>
  <c r="Z24" i="45"/>
  <c r="Y23" i="45"/>
  <c r="Y24" i="44"/>
  <c r="X23" i="44"/>
  <c r="AB23" i="42"/>
  <c r="AA22" i="42"/>
  <c r="AA22" i="41"/>
  <c r="AB23" i="41"/>
  <c r="AA22" i="36"/>
  <c r="AB23" i="36"/>
  <c r="AD23" i="35"/>
  <c r="AC22" i="35"/>
  <c r="AF23" i="34"/>
  <c r="AE22" i="34"/>
  <c r="AH23" i="33"/>
  <c r="AG22" i="33"/>
  <c r="AH23" i="32"/>
  <c r="AG22" i="32"/>
  <c r="AE23" i="31"/>
  <c r="AD22" i="31"/>
  <c r="AG22" i="30"/>
  <c r="AH23" i="30"/>
  <c r="V23" i="50" l="1"/>
  <c r="W24" i="50"/>
  <c r="U23" i="49"/>
  <c r="V24" i="49"/>
  <c r="V23" i="48"/>
  <c r="W24" i="48"/>
  <c r="X24" i="47"/>
  <c r="W23" i="47"/>
  <c r="X24" i="46"/>
  <c r="W23" i="46"/>
  <c r="Y24" i="45"/>
  <c r="X23" i="45"/>
  <c r="X24" i="44"/>
  <c r="W23" i="44"/>
  <c r="Z22" i="42"/>
  <c r="AA23" i="42"/>
  <c r="Z22" i="41"/>
  <c r="AA23" i="41"/>
  <c r="Z22" i="36"/>
  <c r="AA23" i="36"/>
  <c r="AC23" i="35"/>
  <c r="AB22" i="35"/>
  <c r="AD22" i="34"/>
  <c r="AE23" i="34"/>
  <c r="AG23" i="33"/>
  <c r="AF22" i="33"/>
  <c r="AG23" i="32"/>
  <c r="AF22" i="32"/>
  <c r="AD23" i="31"/>
  <c r="AC22" i="31"/>
  <c r="AG23" i="30"/>
  <c r="AF22" i="30"/>
  <c r="C41" i="23"/>
  <c r="C42" i="23" s="1"/>
  <c r="C43" i="23" s="1"/>
  <c r="C44" i="23" s="1"/>
  <c r="C45" i="23" s="1"/>
  <c r="C46" i="23" s="1"/>
  <c r="C47" i="23" s="1"/>
  <c r="C48" i="23" s="1"/>
  <c r="C49" i="23" s="1"/>
  <c r="C50" i="23" s="1"/>
  <c r="C51" i="23" s="1"/>
  <c r="C52" i="23" s="1"/>
  <c r="C53" i="23" s="1"/>
  <c r="C54" i="23" s="1"/>
  <c r="C55" i="23" s="1"/>
  <c r="C56" i="23" s="1"/>
  <c r="C57" i="23" s="1"/>
  <c r="C58" i="23" s="1"/>
  <c r="C59" i="23" s="1"/>
  <c r="C60" i="23" s="1"/>
  <c r="C61" i="23" s="1"/>
  <c r="C62" i="23" s="1"/>
  <c r="C63" i="23" s="1"/>
  <c r="C64" i="23" s="1"/>
  <c r="C65" i="23" s="1"/>
  <c r="C66" i="23" s="1"/>
  <c r="C67" i="23" s="1"/>
  <c r="C68" i="23" s="1"/>
  <c r="C69" i="23" s="1"/>
  <c r="C70" i="23" s="1"/>
  <c r="C71" i="23" s="1"/>
  <c r="C72" i="23" s="1"/>
  <c r="C73" i="23" s="1"/>
  <c r="C74" i="23" s="1"/>
  <c r="C75" i="23" s="1"/>
  <c r="C76" i="23" s="1"/>
  <c r="C77" i="23" s="1"/>
  <c r="C78" i="23" s="1"/>
  <c r="C79" i="23" s="1"/>
  <c r="D38" i="23"/>
  <c r="AJ22" i="23"/>
  <c r="AJ23" i="23" s="1"/>
  <c r="L21" i="23"/>
  <c r="K21" i="23"/>
  <c r="J21" i="23"/>
  <c r="I21" i="23"/>
  <c r="G9" i="23"/>
  <c r="G8" i="23"/>
  <c r="G7" i="23"/>
  <c r="G4" i="23"/>
  <c r="G3" i="23"/>
  <c r="G2" i="23"/>
  <c r="GM1" i="23"/>
  <c r="C41" i="22"/>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76" i="22" s="1"/>
  <c r="C77" i="22" s="1"/>
  <c r="C78" i="22" s="1"/>
  <c r="C79" i="22" s="1"/>
  <c r="D38" i="22"/>
  <c r="AJ22" i="22"/>
  <c r="AJ23" i="22" s="1"/>
  <c r="G9" i="22"/>
  <c r="G8" i="22"/>
  <c r="G7" i="22"/>
  <c r="G4" i="22"/>
  <c r="G3" i="22"/>
  <c r="G2" i="22"/>
  <c r="GM1" i="22"/>
  <c r="L21" i="21"/>
  <c r="K21" i="21"/>
  <c r="J21" i="21"/>
  <c r="I21" i="21"/>
  <c r="C41" i="21"/>
  <c r="C42" i="21" s="1"/>
  <c r="C43" i="21" s="1"/>
  <c r="C44" i="21" s="1"/>
  <c r="C45" i="21" s="1"/>
  <c r="C46" i="21" s="1"/>
  <c r="C47" i="21" s="1"/>
  <c r="C48" i="21" s="1"/>
  <c r="C49" i="21" s="1"/>
  <c r="C50" i="21" s="1"/>
  <c r="C51" i="21" s="1"/>
  <c r="C52" i="21" s="1"/>
  <c r="C53" i="21" s="1"/>
  <c r="C54" i="21" s="1"/>
  <c r="C55" i="21" s="1"/>
  <c r="C56" i="21" s="1"/>
  <c r="C57" i="21" s="1"/>
  <c r="C58" i="21" s="1"/>
  <c r="C59" i="21" s="1"/>
  <c r="C60" i="21" s="1"/>
  <c r="C61" i="21" s="1"/>
  <c r="C62" i="21" s="1"/>
  <c r="C63" i="21" s="1"/>
  <c r="C64" i="21" s="1"/>
  <c r="C65" i="21" s="1"/>
  <c r="C66" i="21" s="1"/>
  <c r="C67" i="21" s="1"/>
  <c r="C68" i="21" s="1"/>
  <c r="C69" i="21" s="1"/>
  <c r="C70" i="21" s="1"/>
  <c r="C71" i="21" s="1"/>
  <c r="C72" i="21" s="1"/>
  <c r="C73" i="21" s="1"/>
  <c r="C74" i="21" s="1"/>
  <c r="C75" i="21" s="1"/>
  <c r="C76" i="21" s="1"/>
  <c r="C77" i="21" s="1"/>
  <c r="C78" i="21" s="1"/>
  <c r="C79" i="21" s="1"/>
  <c r="D38" i="21"/>
  <c r="AJ22" i="21"/>
  <c r="AJ23" i="21" s="1"/>
  <c r="G9" i="21"/>
  <c r="G8" i="21"/>
  <c r="G7" i="21"/>
  <c r="G4" i="21"/>
  <c r="G3" i="21"/>
  <c r="G2" i="21"/>
  <c r="GM1" i="21"/>
  <c r="E30" i="22"/>
  <c r="E32" i="11"/>
  <c r="E30" i="23"/>
  <c r="E30" i="21"/>
  <c r="V24" i="50" l="1"/>
  <c r="U23" i="50"/>
  <c r="U24" i="49"/>
  <c r="T23" i="49"/>
  <c r="V24" i="48"/>
  <c r="U23" i="48"/>
  <c r="V23" i="47"/>
  <c r="W24" i="47"/>
  <c r="W24" i="46"/>
  <c r="V23" i="46"/>
  <c r="X24" i="45"/>
  <c r="W23" i="45"/>
  <c r="W24" i="44"/>
  <c r="V23" i="44"/>
  <c r="Z23" i="42"/>
  <c r="Y22" i="42"/>
  <c r="Z23" i="41"/>
  <c r="Y22" i="41"/>
  <c r="E32" i="23"/>
  <c r="K35" i="23" s="1"/>
  <c r="E32" i="21"/>
  <c r="K35" i="21" s="1"/>
  <c r="E32" i="22"/>
  <c r="K35" i="22" s="1"/>
  <c r="E34" i="11"/>
  <c r="Z23" i="36"/>
  <c r="Y22" i="36"/>
  <c r="AB23" i="35"/>
  <c r="AA22" i="35"/>
  <c r="AD23" i="34"/>
  <c r="AC22" i="34"/>
  <c r="AF23" i="33"/>
  <c r="AE22" i="33"/>
  <c r="AE22" i="32"/>
  <c r="AF23" i="32"/>
  <c r="AC23" i="31"/>
  <c r="AB22" i="31"/>
  <c r="AF23" i="30"/>
  <c r="AE22" i="30"/>
  <c r="AI22" i="22"/>
  <c r="AH22" i="22" s="1"/>
  <c r="AG22" i="22" s="1"/>
  <c r="AI22" i="23"/>
  <c r="AH22" i="23" s="1"/>
  <c r="AG22" i="23" s="1"/>
  <c r="AF22" i="23" s="1"/>
  <c r="E31" i="23"/>
  <c r="E31" i="22"/>
  <c r="E31" i="21"/>
  <c r="AI22" i="21"/>
  <c r="U24" i="50" l="1"/>
  <c r="T23" i="50"/>
  <c r="S23" i="49"/>
  <c r="T24" i="49"/>
  <c r="U24" i="48"/>
  <c r="T23" i="48"/>
  <c r="U23" i="47"/>
  <c r="V24" i="47"/>
  <c r="U23" i="46"/>
  <c r="V24" i="46"/>
  <c r="W24" i="45"/>
  <c r="V23" i="45"/>
  <c r="V24" i="44"/>
  <c r="U23" i="44"/>
  <c r="Y23" i="42"/>
  <c r="X22" i="42"/>
  <c r="Y23" i="41"/>
  <c r="X22" i="41"/>
  <c r="Y23" i="36"/>
  <c r="X22" i="36"/>
  <c r="Z22" i="35"/>
  <c r="AA23" i="35"/>
  <c r="AC23" i="34"/>
  <c r="AB22" i="34"/>
  <c r="AD22" i="33"/>
  <c r="AE23" i="33"/>
  <c r="AE23" i="32"/>
  <c r="AD22" i="32"/>
  <c r="AB23" i="31"/>
  <c r="AA22" i="31"/>
  <c r="AE23" i="30"/>
  <c r="AD22" i="30"/>
  <c r="AI23" i="23"/>
  <c r="AH23" i="23" s="1"/>
  <c r="AG23" i="23" s="1"/>
  <c r="AF23" i="23" s="1"/>
  <c r="AI23" i="22"/>
  <c r="AH23" i="22" s="1"/>
  <c r="AG23" i="22" s="1"/>
  <c r="AE22" i="23"/>
  <c r="E28" i="23"/>
  <c r="F28" i="23" s="1"/>
  <c r="E29" i="23"/>
  <c r="AF22" i="22"/>
  <c r="E29" i="22"/>
  <c r="E28" i="22"/>
  <c r="F28" i="22" s="1"/>
  <c r="AI23" i="21"/>
  <c r="AH22" i="21"/>
  <c r="E28" i="21"/>
  <c r="F28" i="21" s="1"/>
  <c r="E29" i="21"/>
  <c r="T24" i="50" l="1"/>
  <c r="S23" i="50"/>
  <c r="S24" i="49"/>
  <c r="R23" i="49"/>
  <c r="T24" i="48"/>
  <c r="S23" i="48"/>
  <c r="U24" i="47"/>
  <c r="T23" i="47"/>
  <c r="U24" i="46"/>
  <c r="T23" i="46"/>
  <c r="U23" i="45"/>
  <c r="V24" i="45"/>
  <c r="U24" i="44"/>
  <c r="T23" i="44"/>
  <c r="X23" i="42"/>
  <c r="W22" i="42"/>
  <c r="X23" i="41"/>
  <c r="W22" i="41"/>
  <c r="X23" i="36"/>
  <c r="W22" i="36"/>
  <c r="Z23" i="35"/>
  <c r="Y22" i="35"/>
  <c r="AA22" i="34"/>
  <c r="AB23" i="34"/>
  <c r="AC22" i="33"/>
  <c r="AD23" i="33"/>
  <c r="AD23" i="32"/>
  <c r="AC22" i="32"/>
  <c r="Z22" i="31"/>
  <c r="AA23" i="31"/>
  <c r="AD23" i="30"/>
  <c r="AC22" i="30"/>
  <c r="AE23" i="23"/>
  <c r="AD22" i="23"/>
  <c r="AF23" i="22"/>
  <c r="AE22" i="22"/>
  <c r="AH23" i="21"/>
  <c r="AG22" i="21"/>
  <c r="S24" i="50" l="1"/>
  <c r="R23" i="50"/>
  <c r="R24" i="49"/>
  <c r="Q23" i="49"/>
  <c r="S24" i="48"/>
  <c r="R23" i="48"/>
  <c r="T24" i="47"/>
  <c r="S23" i="47"/>
  <c r="T24" i="46"/>
  <c r="S23" i="46"/>
  <c r="U24" i="45"/>
  <c r="T23" i="45"/>
  <c r="T24" i="44"/>
  <c r="S23" i="44"/>
  <c r="W23" i="42"/>
  <c r="V22" i="42"/>
  <c r="W23" i="41"/>
  <c r="V22" i="41"/>
  <c r="W23" i="36"/>
  <c r="V22" i="36"/>
  <c r="X22" i="35"/>
  <c r="Y23" i="35"/>
  <c r="Z22" i="34"/>
  <c r="AA23" i="34"/>
  <c r="AB22" i="33"/>
  <c r="AC23" i="33"/>
  <c r="AB22" i="32"/>
  <c r="AC23" i="32"/>
  <c r="Y22" i="31"/>
  <c r="Z23" i="31"/>
  <c r="AB22" i="30"/>
  <c r="AC23" i="30"/>
  <c r="AD23" i="23"/>
  <c r="AC22" i="23"/>
  <c r="AE23" i="22"/>
  <c r="AD22" i="22"/>
  <c r="AF22" i="21"/>
  <c r="AG23" i="21"/>
  <c r="R24" i="50" l="1"/>
  <c r="Q23" i="50"/>
  <c r="Q24" i="49"/>
  <c r="P23" i="49"/>
  <c r="R24" i="48"/>
  <c r="Q23" i="48"/>
  <c r="S24" i="47"/>
  <c r="R23" i="47"/>
  <c r="S24" i="46"/>
  <c r="R23" i="46"/>
  <c r="T24" i="45"/>
  <c r="S23" i="45"/>
  <c r="R23" i="44"/>
  <c r="S24" i="44"/>
  <c r="V23" i="42"/>
  <c r="U22" i="42"/>
  <c r="U22" i="41"/>
  <c r="V23" i="41"/>
  <c r="V23" i="36"/>
  <c r="U22" i="36"/>
  <c r="X23" i="35"/>
  <c r="W22" i="35"/>
  <c r="Z23" i="34"/>
  <c r="Y22" i="34"/>
  <c r="AB23" i="33"/>
  <c r="AA22" i="33"/>
  <c r="AB23" i="32"/>
  <c r="AA22" i="32"/>
  <c r="Y23" i="31"/>
  <c r="X22" i="31"/>
  <c r="AB23" i="30"/>
  <c r="AA22" i="30"/>
  <c r="AC23" i="23"/>
  <c r="AB22" i="23"/>
  <c r="AD23" i="22"/>
  <c r="AC22" i="22"/>
  <c r="AF23" i="21"/>
  <c r="AE22" i="21"/>
  <c r="Q24" i="50" l="1"/>
  <c r="P23" i="50"/>
  <c r="P24" i="49"/>
  <c r="O23" i="49"/>
  <c r="Q24" i="48"/>
  <c r="P23" i="48"/>
  <c r="R24" i="47"/>
  <c r="Q23" i="47"/>
  <c r="R24" i="46"/>
  <c r="Q23" i="46"/>
  <c r="S24" i="45"/>
  <c r="R23" i="45"/>
  <c r="R24" i="44"/>
  <c r="Q23" i="44"/>
  <c r="U23" i="42"/>
  <c r="T22" i="42"/>
  <c r="U23" i="41"/>
  <c r="T22" i="41"/>
  <c r="U23" i="36"/>
  <c r="T22" i="36"/>
  <c r="W23" i="35"/>
  <c r="V22" i="35"/>
  <c r="Y23" i="34"/>
  <c r="X22" i="34"/>
  <c r="Z22" i="33"/>
  <c r="AA23" i="33"/>
  <c r="Z22" i="32"/>
  <c r="AA23" i="32"/>
  <c r="X23" i="31"/>
  <c r="W22" i="31"/>
  <c r="AA23" i="30"/>
  <c r="Z22" i="30"/>
  <c r="AB23" i="23"/>
  <c r="AA22" i="23"/>
  <c r="AC23" i="22"/>
  <c r="AB22" i="22"/>
  <c r="AE23" i="21"/>
  <c r="AD22" i="21"/>
  <c r="O23" i="50" l="1"/>
  <c r="P24" i="50"/>
  <c r="O24" i="49"/>
  <c r="N23" i="49"/>
  <c r="O23" i="48"/>
  <c r="P24" i="48"/>
  <c r="Q24" i="47"/>
  <c r="P23" i="47"/>
  <c r="Q24" i="46"/>
  <c r="P23" i="46"/>
  <c r="R24" i="45"/>
  <c r="Q23" i="45"/>
  <c r="Q24" i="44"/>
  <c r="P23" i="44"/>
  <c r="T23" i="42"/>
  <c r="S22" i="42"/>
  <c r="S22" i="41"/>
  <c r="T23" i="41"/>
  <c r="S22" i="36"/>
  <c r="T23" i="36"/>
  <c r="V23" i="35"/>
  <c r="U22" i="35"/>
  <c r="X23" i="34"/>
  <c r="W22" i="34"/>
  <c r="Z23" i="33"/>
  <c r="Y22" i="33"/>
  <c r="Z23" i="32"/>
  <c r="Y22" i="32"/>
  <c r="W23" i="31"/>
  <c r="V22" i="31"/>
  <c r="Y22" i="30"/>
  <c r="Z23" i="30"/>
  <c r="Z22" i="23"/>
  <c r="AA23" i="23"/>
  <c r="AA22" i="22"/>
  <c r="AB23" i="22"/>
  <c r="AD23" i="21"/>
  <c r="AC22" i="21"/>
  <c r="N23" i="50" l="1"/>
  <c r="O24" i="50"/>
  <c r="M23" i="49"/>
  <c r="N24" i="49"/>
  <c r="N23" i="48"/>
  <c r="O24" i="48"/>
  <c r="P24" i="47"/>
  <c r="O23" i="47"/>
  <c r="P24" i="46"/>
  <c r="O23" i="46"/>
  <c r="Q24" i="45"/>
  <c r="P23" i="45"/>
  <c r="P24" i="44"/>
  <c r="O23" i="44"/>
  <c r="R22" i="42"/>
  <c r="S23" i="42"/>
  <c r="R22" i="41"/>
  <c r="S23" i="41"/>
  <c r="R22" i="36"/>
  <c r="S23" i="36"/>
  <c r="T22" i="35"/>
  <c r="U23" i="35"/>
  <c r="W23" i="34"/>
  <c r="V22" i="34"/>
  <c r="Y23" i="33"/>
  <c r="X22" i="33"/>
  <c r="Y23" i="32"/>
  <c r="X22" i="32"/>
  <c r="V23" i="31"/>
  <c r="U22" i="31"/>
  <c r="Y23" i="30"/>
  <c r="X22" i="30"/>
  <c r="Y22" i="23"/>
  <c r="Z23" i="23"/>
  <c r="Z22" i="22"/>
  <c r="AA23" i="22"/>
  <c r="AB22" i="21"/>
  <c r="AC23" i="21"/>
  <c r="N24" i="50" l="1"/>
  <c r="M23" i="50"/>
  <c r="M24" i="49"/>
  <c r="L23" i="49"/>
  <c r="N24" i="48"/>
  <c r="M23" i="48"/>
  <c r="N23" i="47"/>
  <c r="O24" i="47"/>
  <c r="N23" i="46"/>
  <c r="O24" i="46"/>
  <c r="P24" i="45"/>
  <c r="O23" i="45"/>
  <c r="N23" i="44"/>
  <c r="O24" i="44"/>
  <c r="R23" i="42"/>
  <c r="Q22" i="42"/>
  <c r="R23" i="41"/>
  <c r="Q22" i="41"/>
  <c r="R23" i="36"/>
  <c r="Q22" i="36"/>
  <c r="T23" i="35"/>
  <c r="S22" i="35"/>
  <c r="V23" i="34"/>
  <c r="U22" i="34"/>
  <c r="X23" i="33"/>
  <c r="W22" i="33"/>
  <c r="W22" i="32"/>
  <c r="X23" i="32"/>
  <c r="U23" i="31"/>
  <c r="T22" i="31"/>
  <c r="X23" i="30"/>
  <c r="W22" i="30"/>
  <c r="Y23" i="23"/>
  <c r="X22" i="23"/>
  <c r="Z23" i="22"/>
  <c r="Y22" i="22"/>
  <c r="AB23" i="21"/>
  <c r="AA22" i="21"/>
  <c r="M24" i="50" l="1"/>
  <c r="L23" i="50"/>
  <c r="K23" i="49"/>
  <c r="L24" i="49"/>
  <c r="M24" i="48"/>
  <c r="L23" i="48"/>
  <c r="M23" i="47"/>
  <c r="N24" i="47"/>
  <c r="M23" i="46"/>
  <c r="N24" i="46"/>
  <c r="N23" i="45"/>
  <c r="O24" i="45"/>
  <c r="N24" i="44"/>
  <c r="M23" i="44"/>
  <c r="Q23" i="42"/>
  <c r="P22" i="42"/>
  <c r="Q23" i="41"/>
  <c r="P22" i="41"/>
  <c r="Q23" i="36"/>
  <c r="P22" i="36"/>
  <c r="R22" i="35"/>
  <c r="S23" i="35"/>
  <c r="U23" i="34"/>
  <c r="T22" i="34"/>
  <c r="W23" i="33"/>
  <c r="V22" i="33"/>
  <c r="W23" i="32"/>
  <c r="V22" i="32"/>
  <c r="T23" i="31"/>
  <c r="S22" i="31"/>
  <c r="W23" i="30"/>
  <c r="V22" i="30"/>
  <c r="X23" i="23"/>
  <c r="W22" i="23"/>
  <c r="X22" i="22"/>
  <c r="Y23" i="22"/>
  <c r="AA23" i="21"/>
  <c r="Z22" i="21"/>
  <c r="L24" i="50" l="1"/>
  <c r="K23" i="50"/>
  <c r="K24" i="49"/>
  <c r="J23" i="49"/>
  <c r="L24" i="48"/>
  <c r="K23" i="48"/>
  <c r="M24" i="47"/>
  <c r="L23" i="47"/>
  <c r="L23" i="46"/>
  <c r="M24" i="46"/>
  <c r="N24" i="45"/>
  <c r="M23" i="45"/>
  <c r="M24" i="44"/>
  <c r="L23" i="44"/>
  <c r="P23" i="42"/>
  <c r="O22" i="42"/>
  <c r="P23" i="41"/>
  <c r="O22" i="41"/>
  <c r="P23" i="36"/>
  <c r="O22" i="36"/>
  <c r="R23" i="35"/>
  <c r="Q22" i="35"/>
  <c r="T23" i="34"/>
  <c r="S22" i="34"/>
  <c r="U22" i="33"/>
  <c r="V23" i="33"/>
  <c r="V23" i="32"/>
  <c r="U22" i="32"/>
  <c r="R22" i="31"/>
  <c r="S23" i="31"/>
  <c r="V23" i="30"/>
  <c r="U22" i="30"/>
  <c r="W23" i="23"/>
  <c r="V22" i="23"/>
  <c r="X23" i="22"/>
  <c r="W22" i="22"/>
  <c r="Y22" i="21"/>
  <c r="Z23" i="21"/>
  <c r="K24" i="50" l="1"/>
  <c r="J23" i="50"/>
  <c r="J24" i="49"/>
  <c r="I23" i="49"/>
  <c r="K24" i="48"/>
  <c r="J23" i="48"/>
  <c r="L24" i="47"/>
  <c r="K23" i="47"/>
  <c r="L24" i="46"/>
  <c r="K23" i="46"/>
  <c r="L23" i="45"/>
  <c r="M24" i="45"/>
  <c r="L24" i="44"/>
  <c r="K23" i="44"/>
  <c r="O23" i="42"/>
  <c r="N22" i="42"/>
  <c r="O23" i="41"/>
  <c r="N22" i="41"/>
  <c r="O23" i="36"/>
  <c r="N22" i="36"/>
  <c r="Q23" i="35"/>
  <c r="P22" i="35"/>
  <c r="R22" i="34"/>
  <c r="S23" i="34"/>
  <c r="T22" i="33"/>
  <c r="U23" i="33"/>
  <c r="T22" i="32"/>
  <c r="U23" i="32"/>
  <c r="Q22" i="31"/>
  <c r="R23" i="31"/>
  <c r="U23" i="30"/>
  <c r="T22" i="30"/>
  <c r="V23" i="23"/>
  <c r="U22" i="23"/>
  <c r="W23" i="22"/>
  <c r="V22" i="22"/>
  <c r="X22" i="21"/>
  <c r="Y23" i="21"/>
  <c r="J24" i="50" l="1"/>
  <c r="I23" i="50"/>
  <c r="I24" i="49"/>
  <c r="H23" i="49"/>
  <c r="J24" i="48"/>
  <c r="I23" i="48"/>
  <c r="K24" i="47"/>
  <c r="J23" i="47"/>
  <c r="K24" i="46"/>
  <c r="J23" i="46"/>
  <c r="L24" i="45"/>
  <c r="K23" i="45"/>
  <c r="J23" i="44"/>
  <c r="K24" i="44"/>
  <c r="M22" i="42"/>
  <c r="N23" i="42"/>
  <c r="M22" i="41"/>
  <c r="N23" i="41"/>
  <c r="N23" i="36"/>
  <c r="M22" i="36"/>
  <c r="O22" i="35"/>
  <c r="P23" i="35"/>
  <c r="R23" i="34"/>
  <c r="Q22" i="34"/>
  <c r="T23" i="33"/>
  <c r="S22" i="33"/>
  <c r="T23" i="32"/>
  <c r="S22" i="32"/>
  <c r="Q23" i="31"/>
  <c r="P22" i="31"/>
  <c r="T23" i="30"/>
  <c r="S22" i="30"/>
  <c r="U23" i="23"/>
  <c r="T22" i="23"/>
  <c r="V23" i="22"/>
  <c r="U22" i="22"/>
  <c r="X23" i="21"/>
  <c r="W22" i="21"/>
  <c r="I24" i="50" l="1"/>
  <c r="H23" i="50"/>
  <c r="H24" i="49"/>
  <c r="G23" i="49"/>
  <c r="I24" i="48"/>
  <c r="H23" i="48"/>
  <c r="J24" i="47"/>
  <c r="I23" i="47"/>
  <c r="J24" i="46"/>
  <c r="I23" i="46"/>
  <c r="K24" i="45"/>
  <c r="J23" i="45"/>
  <c r="J24" i="44"/>
  <c r="I23" i="44"/>
  <c r="M23" i="42"/>
  <c r="L22" i="42"/>
  <c r="M23" i="41"/>
  <c r="L22" i="41"/>
  <c r="M23" i="36"/>
  <c r="L22" i="36"/>
  <c r="O23" i="35"/>
  <c r="N22" i="35"/>
  <c r="Q23" i="34"/>
  <c r="P22" i="34"/>
  <c r="R22" i="33"/>
  <c r="S23" i="33"/>
  <c r="R22" i="32"/>
  <c r="S23" i="32"/>
  <c r="P23" i="31"/>
  <c r="O22" i="31"/>
  <c r="S23" i="30"/>
  <c r="R22" i="30"/>
  <c r="T23" i="23"/>
  <c r="S22" i="23"/>
  <c r="U23" i="22"/>
  <c r="T22" i="22"/>
  <c r="W23" i="21"/>
  <c r="V22" i="21"/>
  <c r="G23" i="50" l="1"/>
  <c r="H24" i="50"/>
  <c r="G24" i="49"/>
  <c r="F23" i="49"/>
  <c r="G23" i="48"/>
  <c r="H24" i="48"/>
  <c r="I24" i="47"/>
  <c r="H23" i="47"/>
  <c r="I24" i="46"/>
  <c r="H23" i="46"/>
  <c r="J24" i="45"/>
  <c r="I23" i="45"/>
  <c r="I24" i="44"/>
  <c r="H23" i="44"/>
  <c r="L23" i="42"/>
  <c r="K22" i="42"/>
  <c r="K22" i="41"/>
  <c r="L23" i="41"/>
  <c r="K22" i="36"/>
  <c r="L23" i="36"/>
  <c r="N23" i="35"/>
  <c r="M22" i="35"/>
  <c r="P23" i="34"/>
  <c r="O22" i="34"/>
  <c r="R23" i="33"/>
  <c r="Q22" i="33"/>
  <c r="R23" i="32"/>
  <c r="Q22" i="32"/>
  <c r="O23" i="31"/>
  <c r="N22" i="31"/>
  <c r="Q22" i="30"/>
  <c r="R23" i="30"/>
  <c r="R22" i="23"/>
  <c r="S23" i="23"/>
  <c r="S22" i="22"/>
  <c r="T23" i="22"/>
  <c r="V23" i="21"/>
  <c r="U22" i="21"/>
  <c r="G24" i="50" l="1"/>
  <c r="F23" i="50"/>
  <c r="E23" i="49"/>
  <c r="F24" i="49"/>
  <c r="F23" i="48"/>
  <c r="G24" i="48"/>
  <c r="H24" i="47"/>
  <c r="G23" i="47"/>
  <c r="H24" i="46"/>
  <c r="G23" i="46"/>
  <c r="I24" i="45"/>
  <c r="H23" i="45"/>
  <c r="H24" i="44"/>
  <c r="G23" i="44"/>
  <c r="J22" i="42"/>
  <c r="K23" i="42"/>
  <c r="J22" i="41"/>
  <c r="K23" i="41"/>
  <c r="J22" i="36"/>
  <c r="K23" i="36"/>
  <c r="M23" i="35"/>
  <c r="L22" i="35"/>
  <c r="N22" i="34"/>
  <c r="O23" i="34"/>
  <c r="Q23" i="33"/>
  <c r="P22" i="33"/>
  <c r="Q23" i="32"/>
  <c r="P22" i="32"/>
  <c r="N23" i="31"/>
  <c r="M22" i="31"/>
  <c r="Q23" i="30"/>
  <c r="P22" i="30"/>
  <c r="Q22" i="23"/>
  <c r="R23" i="23"/>
  <c r="R22" i="22"/>
  <c r="S23" i="22"/>
  <c r="T22" i="21"/>
  <c r="U23" i="21"/>
  <c r="F24" i="50" l="1"/>
  <c r="E23" i="50"/>
  <c r="E24" i="49"/>
  <c r="E25" i="49" s="1"/>
  <c r="E36" i="49" s="1"/>
  <c r="H38" i="49"/>
  <c r="E40" i="49" s="1"/>
  <c r="E28" i="49"/>
  <c r="F24" i="48"/>
  <c r="E23" i="48"/>
  <c r="F23" i="47"/>
  <c r="G24" i="47"/>
  <c r="G24" i="46"/>
  <c r="F23" i="46"/>
  <c r="H24" i="45"/>
  <c r="G23" i="45"/>
  <c r="F23" i="44"/>
  <c r="G24" i="44"/>
  <c r="J23" i="42"/>
  <c r="I22" i="42"/>
  <c r="J23" i="41"/>
  <c r="I22" i="41"/>
  <c r="J23" i="36"/>
  <c r="I22" i="36"/>
  <c r="L23" i="35"/>
  <c r="K22" i="35"/>
  <c r="N23" i="34"/>
  <c r="M22" i="34"/>
  <c r="P23" i="33"/>
  <c r="O22" i="33"/>
  <c r="P23" i="32"/>
  <c r="O22" i="32"/>
  <c r="M23" i="31"/>
  <c r="L22" i="31"/>
  <c r="P23" i="30"/>
  <c r="O22" i="30"/>
  <c r="Q23" i="23"/>
  <c r="P22" i="23"/>
  <c r="R23" i="22"/>
  <c r="Q22" i="22"/>
  <c r="T23" i="21"/>
  <c r="S22" i="21"/>
  <c r="E24" i="50" l="1"/>
  <c r="E25" i="50" s="1"/>
  <c r="E36" i="50" s="1"/>
  <c r="H38" i="50"/>
  <c r="E40" i="50" s="1"/>
  <c r="E28" i="50"/>
  <c r="E37" i="49"/>
  <c r="E14" i="49"/>
  <c r="E19" i="49"/>
  <c r="E17" i="49"/>
  <c r="E24" i="48"/>
  <c r="E25" i="48" s="1"/>
  <c r="E36" i="48" s="1"/>
  <c r="H38" i="48"/>
  <c r="E40" i="48" s="1"/>
  <c r="E28" i="48"/>
  <c r="E23" i="47"/>
  <c r="F24" i="47"/>
  <c r="E23" i="46"/>
  <c r="F24" i="46"/>
  <c r="F23" i="45"/>
  <c r="G24" i="45"/>
  <c r="F24" i="44"/>
  <c r="E23" i="44"/>
  <c r="I23" i="42"/>
  <c r="H22" i="42"/>
  <c r="I23" i="41"/>
  <c r="H22" i="41"/>
  <c r="I23" i="36"/>
  <c r="H22" i="36"/>
  <c r="J22" i="35"/>
  <c r="K23" i="35"/>
  <c r="M23" i="34"/>
  <c r="L22" i="34"/>
  <c r="O23" i="33"/>
  <c r="N22" i="33"/>
  <c r="O23" i="32"/>
  <c r="N22" i="32"/>
  <c r="L23" i="31"/>
  <c r="K22" i="31"/>
  <c r="O23" i="30"/>
  <c r="N22" i="30"/>
  <c r="P23" i="23"/>
  <c r="O22" i="23"/>
  <c r="P22" i="22"/>
  <c r="Q23" i="22"/>
  <c r="S23" i="21"/>
  <c r="R22" i="21"/>
  <c r="E19" i="50" l="1"/>
  <c r="E37" i="50"/>
  <c r="E14" i="50"/>
  <c r="E17" i="50"/>
  <c r="E37" i="48"/>
  <c r="E17" i="48"/>
  <c r="E14" i="48"/>
  <c r="E19" i="48"/>
  <c r="E24" i="47"/>
  <c r="E25" i="47" s="1"/>
  <c r="E36" i="47" s="1"/>
  <c r="H38" i="47"/>
  <c r="E40" i="47" s="1"/>
  <c r="E28" i="47"/>
  <c r="E24" i="46"/>
  <c r="E25" i="46" s="1"/>
  <c r="E36" i="46" s="1"/>
  <c r="H38" i="46"/>
  <c r="E40" i="46" s="1"/>
  <c r="E28" i="46"/>
  <c r="E23" i="45"/>
  <c r="F24" i="45"/>
  <c r="H36" i="44"/>
  <c r="E38" i="44" s="1"/>
  <c r="E24" i="44"/>
  <c r="E25" i="44" s="1"/>
  <c r="E34" i="44" s="1"/>
  <c r="E28" i="44"/>
  <c r="H23" i="42"/>
  <c r="G22" i="42"/>
  <c r="H23" i="41"/>
  <c r="G22" i="41"/>
  <c r="H23" i="36"/>
  <c r="G22" i="36"/>
  <c r="J23" i="35"/>
  <c r="I22" i="35"/>
  <c r="K22" i="34"/>
  <c r="L23" i="34"/>
  <c r="N23" i="33"/>
  <c r="M22" i="33"/>
  <c r="N23" i="32"/>
  <c r="M22" i="32"/>
  <c r="K23" i="31"/>
  <c r="J22" i="31"/>
  <c r="N23" i="30"/>
  <c r="M22" i="30"/>
  <c r="O23" i="23"/>
  <c r="N22" i="23"/>
  <c r="P23" i="22"/>
  <c r="O22" i="22"/>
  <c r="R23" i="21"/>
  <c r="Q22" i="21"/>
  <c r="E19" i="47" l="1"/>
  <c r="E37" i="47"/>
  <c r="E14" i="47"/>
  <c r="E17" i="47"/>
  <c r="E19" i="46"/>
  <c r="E37" i="46"/>
  <c r="E14" i="46"/>
  <c r="E17" i="46"/>
  <c r="H38" i="45"/>
  <c r="E40" i="45" s="1"/>
  <c r="E24" i="45"/>
  <c r="E25" i="45" s="1"/>
  <c r="E36" i="45" s="1"/>
  <c r="E28" i="45"/>
  <c r="E14" i="44"/>
  <c r="E35" i="44"/>
  <c r="E19" i="44"/>
  <c r="E17" i="44"/>
  <c r="G23" i="42"/>
  <c r="F22" i="42"/>
  <c r="G23" i="41"/>
  <c r="F22" i="41"/>
  <c r="G23" i="36"/>
  <c r="F22" i="36"/>
  <c r="H22" i="35"/>
  <c r="I23" i="35"/>
  <c r="J22" i="34"/>
  <c r="K23" i="34"/>
  <c r="M23" i="33"/>
  <c r="L22" i="33"/>
  <c r="M23" i="32"/>
  <c r="L22" i="32"/>
  <c r="I22" i="31"/>
  <c r="J23" i="31"/>
  <c r="L22" i="30"/>
  <c r="M23" i="30"/>
  <c r="N23" i="23"/>
  <c r="M22" i="23"/>
  <c r="O23" i="22"/>
  <c r="N22" i="22"/>
  <c r="Q23" i="21"/>
  <c r="P22" i="21"/>
  <c r="E37" i="45" l="1"/>
  <c r="E17" i="45"/>
  <c r="E14" i="45"/>
  <c r="E19" i="45"/>
  <c r="F23" i="42"/>
  <c r="E22" i="42"/>
  <c r="E22" i="41"/>
  <c r="F23" i="41"/>
  <c r="F23" i="36"/>
  <c r="E22" i="36"/>
  <c r="H23" i="35"/>
  <c r="G22" i="35"/>
  <c r="J23" i="34"/>
  <c r="I22" i="34"/>
  <c r="L23" i="33"/>
  <c r="K22" i="33"/>
  <c r="L23" i="32"/>
  <c r="K22" i="32"/>
  <c r="I23" i="31"/>
  <c r="H22" i="31"/>
  <c r="L23" i="30"/>
  <c r="K22" i="30"/>
  <c r="M23" i="23"/>
  <c r="L22" i="23"/>
  <c r="N23" i="22"/>
  <c r="M22" i="22"/>
  <c r="P23" i="21"/>
  <c r="O22" i="21"/>
  <c r="H35" i="42" l="1"/>
  <c r="E37" i="42" s="1"/>
  <c r="E23" i="42"/>
  <c r="E24" i="42" s="1"/>
  <c r="E33" i="42" s="1"/>
  <c r="E27" i="42"/>
  <c r="H35" i="41"/>
  <c r="E37" i="41" s="1"/>
  <c r="E23" i="41"/>
  <c r="E24" i="41" s="1"/>
  <c r="E33" i="41" s="1"/>
  <c r="E27" i="41"/>
  <c r="H35" i="36"/>
  <c r="E37" i="36" s="1"/>
  <c r="E23" i="36"/>
  <c r="E24" i="36" s="1"/>
  <c r="E33" i="36" s="1"/>
  <c r="E27" i="36"/>
  <c r="G23" i="35"/>
  <c r="F22" i="35"/>
  <c r="I23" i="34"/>
  <c r="H22" i="34"/>
  <c r="J22" i="33"/>
  <c r="K23" i="33"/>
  <c r="J22" i="32"/>
  <c r="K23" i="32"/>
  <c r="H23" i="31"/>
  <c r="G22" i="31"/>
  <c r="K23" i="30"/>
  <c r="J22" i="30"/>
  <c r="L23" i="23"/>
  <c r="K22" i="23"/>
  <c r="M23" i="22"/>
  <c r="L22" i="22"/>
  <c r="O23" i="21"/>
  <c r="N22" i="21"/>
  <c r="E13" i="42" l="1"/>
  <c r="E34" i="42"/>
  <c r="E18" i="42"/>
  <c r="E16" i="42"/>
  <c r="E13" i="41"/>
  <c r="E34" i="41"/>
  <c r="E18" i="41"/>
  <c r="E16" i="41"/>
  <c r="E13" i="36"/>
  <c r="E16" i="36"/>
  <c r="E34" i="36"/>
  <c r="E18" i="36"/>
  <c r="F23" i="35"/>
  <c r="E22" i="35"/>
  <c r="H23" i="34"/>
  <c r="G22" i="34"/>
  <c r="J23" i="33"/>
  <c r="I22" i="33"/>
  <c r="J23" i="32"/>
  <c r="I22" i="32"/>
  <c r="G23" i="31"/>
  <c r="F22" i="31"/>
  <c r="I22" i="30"/>
  <c r="J23" i="30"/>
  <c r="J22" i="23"/>
  <c r="K23" i="23"/>
  <c r="K22" i="22"/>
  <c r="L23" i="22"/>
  <c r="N23" i="21"/>
  <c r="M22" i="21"/>
  <c r="H35" i="35" l="1"/>
  <c r="E37" i="35" s="1"/>
  <c r="E23" i="35"/>
  <c r="E24" i="35" s="1"/>
  <c r="E33" i="35" s="1"/>
  <c r="E27" i="35"/>
  <c r="G23" i="34"/>
  <c r="F22" i="34"/>
  <c r="I23" i="33"/>
  <c r="H22" i="33"/>
  <c r="I23" i="32"/>
  <c r="H22" i="32"/>
  <c r="F23" i="31"/>
  <c r="E22" i="31"/>
  <c r="I23" i="30"/>
  <c r="H22" i="30"/>
  <c r="I22" i="23"/>
  <c r="J23" i="23"/>
  <c r="J22" i="22"/>
  <c r="K23" i="22"/>
  <c r="M23" i="21"/>
  <c r="L22" i="21"/>
  <c r="E13" i="35" l="1"/>
  <c r="E34" i="35"/>
  <c r="E18" i="35"/>
  <c r="E16" i="35"/>
  <c r="F23" i="34"/>
  <c r="E22" i="34"/>
  <c r="H23" i="33"/>
  <c r="G22" i="33"/>
  <c r="G22" i="32"/>
  <c r="H23" i="32"/>
  <c r="H35" i="31"/>
  <c r="E37" i="31" s="1"/>
  <c r="E23" i="31"/>
  <c r="E24" i="31" s="1"/>
  <c r="E33" i="31" s="1"/>
  <c r="E27" i="31"/>
  <c r="H23" i="30"/>
  <c r="G22" i="30"/>
  <c r="I23" i="23"/>
  <c r="H22" i="23"/>
  <c r="J23" i="22"/>
  <c r="I22" i="22"/>
  <c r="L23" i="21"/>
  <c r="K22" i="21"/>
  <c r="H35" i="34" l="1"/>
  <c r="E37" i="34" s="1"/>
  <c r="E23" i="34"/>
  <c r="E24" i="34" s="1"/>
  <c r="E33" i="34" s="1"/>
  <c r="E27" i="34"/>
  <c r="F22" i="33"/>
  <c r="G23" i="33"/>
  <c r="G23" i="32"/>
  <c r="F22" i="32"/>
  <c r="E18" i="31"/>
  <c r="E34" i="31"/>
  <c r="E16" i="31"/>
  <c r="E13" i="31"/>
  <c r="G23" i="30"/>
  <c r="F22" i="30"/>
  <c r="H23" i="23"/>
  <c r="G22" i="23"/>
  <c r="H22" i="22"/>
  <c r="I23" i="22"/>
  <c r="J22" i="21"/>
  <c r="K23" i="21"/>
  <c r="E13" i="34" l="1"/>
  <c r="E34" i="34"/>
  <c r="E18" i="34"/>
  <c r="E16" i="34"/>
  <c r="E22" i="33"/>
  <c r="F23" i="33"/>
  <c r="F23" i="32"/>
  <c r="E22" i="32"/>
  <c r="F23" i="30"/>
  <c r="E22" i="30"/>
  <c r="G23" i="23"/>
  <c r="F22" i="23"/>
  <c r="H23" i="22"/>
  <c r="G22" i="22"/>
  <c r="I22" i="21"/>
  <c r="J23" i="21"/>
  <c r="H35" i="33" l="1"/>
  <c r="E37" i="33" s="1"/>
  <c r="E23" i="33"/>
  <c r="E24" i="33" s="1"/>
  <c r="E33" i="33" s="1"/>
  <c r="E27" i="33"/>
  <c r="H35" i="32"/>
  <c r="E37" i="32" s="1"/>
  <c r="E23" i="32"/>
  <c r="E24" i="32" s="1"/>
  <c r="E33" i="32" s="1"/>
  <c r="E27" i="32"/>
  <c r="H35" i="30"/>
  <c r="E37" i="30" s="1"/>
  <c r="E23" i="30"/>
  <c r="E24" i="30" s="1"/>
  <c r="E33" i="30" s="1"/>
  <c r="E27" i="30"/>
  <c r="F23" i="23"/>
  <c r="E22" i="23"/>
  <c r="G23" i="22"/>
  <c r="F22" i="22"/>
  <c r="H22" i="21"/>
  <c r="I23" i="21"/>
  <c r="E13" i="33" l="1"/>
  <c r="E18" i="33"/>
  <c r="E34" i="33"/>
  <c r="E16" i="33"/>
  <c r="E13" i="32"/>
  <c r="E34" i="32"/>
  <c r="E18" i="32"/>
  <c r="E16" i="32"/>
  <c r="E18" i="30"/>
  <c r="E34" i="30"/>
  <c r="E16" i="30"/>
  <c r="E13" i="30"/>
  <c r="H35" i="23"/>
  <c r="E37" i="23" s="1"/>
  <c r="E23" i="23"/>
  <c r="E24" i="23" s="1"/>
  <c r="E33" i="23" s="1"/>
  <c r="E27" i="23"/>
  <c r="F23" i="22"/>
  <c r="E22" i="22"/>
  <c r="H23" i="21"/>
  <c r="G22" i="21"/>
  <c r="E18" i="23" l="1"/>
  <c r="E34" i="23"/>
  <c r="E16" i="23"/>
  <c r="E13" i="23"/>
  <c r="H35" i="22"/>
  <c r="E37" i="22" s="1"/>
  <c r="E23" i="22"/>
  <c r="E24" i="22" s="1"/>
  <c r="E33" i="22" s="1"/>
  <c r="E27" i="22"/>
  <c r="G23" i="21"/>
  <c r="F22" i="21"/>
  <c r="E18" i="22" l="1"/>
  <c r="E34" i="22"/>
  <c r="E16" i="22"/>
  <c r="E13" i="22"/>
  <c r="F23" i="21"/>
  <c r="E22" i="21"/>
  <c r="H35" i="21" l="1"/>
  <c r="E37" i="21" s="1"/>
  <c r="E23" i="21"/>
  <c r="E24" i="21" s="1"/>
  <c r="E33" i="21" s="1"/>
  <c r="E27" i="21"/>
  <c r="E34" i="21" l="1"/>
  <c r="E18" i="21"/>
  <c r="E16" i="21"/>
  <c r="E13" i="21"/>
  <c r="G6" i="11" l="1"/>
  <c r="GM1" i="11"/>
  <c r="K38" i="11" l="1"/>
  <c r="E33" i="11"/>
  <c r="C45" i="11"/>
  <c r="C46" i="11" s="1"/>
  <c r="C47" i="11" s="1"/>
  <c r="C48" i="11" s="1"/>
  <c r="D42" i="11"/>
  <c r="AJ23" i="11"/>
  <c r="AI23" i="11" s="1"/>
  <c r="G9" i="11"/>
  <c r="G8" i="11"/>
  <c r="G7" i="11"/>
  <c r="G4" i="11"/>
  <c r="G3" i="11"/>
  <c r="G2" i="11"/>
  <c r="E30" i="11" l="1"/>
  <c r="E31" i="11"/>
  <c r="C49" i="11"/>
  <c r="C50" i="11" s="1"/>
  <c r="C51" i="11" s="1"/>
  <c r="AH23" i="11"/>
  <c r="AJ24" i="11"/>
  <c r="AI24" i="11" s="1"/>
  <c r="F30" i="11" l="1"/>
  <c r="C52" i="11"/>
  <c r="C53" i="11" s="1"/>
  <c r="C54" i="11" s="1"/>
  <c r="AH24" i="11"/>
  <c r="AG23" i="11"/>
  <c r="C55" i="11" l="1"/>
  <c r="C56" i="11" s="1"/>
  <c r="C57" i="11" s="1"/>
  <c r="AF23" i="11"/>
  <c r="AG24" i="11"/>
  <c r="C58" i="11" l="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AF24" i="11"/>
  <c r="AE23" i="11"/>
  <c r="AE24" i="11" l="1"/>
  <c r="AD23" i="11"/>
  <c r="AD24" i="11" l="1"/>
  <c r="AC23" i="11"/>
  <c r="AC24" i="11" l="1"/>
  <c r="AB23" i="11"/>
  <c r="AA23" i="11" l="1"/>
  <c r="AB24" i="11"/>
  <c r="AA24" i="11" l="1"/>
  <c r="Z23" i="11"/>
  <c r="Z24" i="11" l="1"/>
  <c r="Y23" i="11"/>
  <c r="X23" i="11" l="1"/>
  <c r="Y24" i="11"/>
  <c r="X24" i="11" l="1"/>
  <c r="W23" i="11"/>
  <c r="W24" i="11" l="1"/>
  <c r="V23" i="11"/>
  <c r="V24" i="11" l="1"/>
  <c r="U23" i="11"/>
  <c r="U24" i="11" l="1"/>
  <c r="T23" i="11"/>
  <c r="S23" i="11" l="1"/>
  <c r="T24" i="11"/>
  <c r="S24" i="11" l="1"/>
  <c r="R23" i="11"/>
  <c r="R24" i="11" l="1"/>
  <c r="Q23" i="11"/>
  <c r="P23" i="11" l="1"/>
  <c r="Q24" i="11"/>
  <c r="P24" i="11" l="1"/>
  <c r="O23" i="11"/>
  <c r="O24" i="11" l="1"/>
  <c r="N23" i="11"/>
  <c r="N24" i="11" l="1"/>
  <c r="M23" i="11"/>
  <c r="M24" i="11" l="1"/>
  <c r="L23" i="11"/>
  <c r="K23" i="11" l="1"/>
  <c r="L24" i="11"/>
  <c r="K24" i="11" l="1"/>
  <c r="J23" i="11"/>
  <c r="J24" i="11" l="1"/>
  <c r="I23" i="11"/>
  <c r="H23" i="11" l="1"/>
  <c r="I24" i="11"/>
  <c r="H24" i="11" l="1"/>
  <c r="G23" i="11"/>
  <c r="G24" i="11" l="1"/>
  <c r="F23" i="11"/>
  <c r="F24" i="11" l="1"/>
  <c r="E23" i="11"/>
  <c r="E28" i="11" s="1"/>
  <c r="H38" i="11" l="1"/>
  <c r="E40" i="11" s="1"/>
  <c r="E24" i="11"/>
  <c r="E25" i="11" s="1"/>
  <c r="E36" i="11" l="1"/>
  <c r="E14" i="11" s="1"/>
  <c r="E17" i="11" l="1"/>
  <c r="E19" i="11"/>
  <c r="E3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000-000001000000}">
      <text>
        <r>
          <rPr>
            <sz val="9"/>
            <color indexed="81"/>
            <rFont val="Segoe UI"/>
            <family val="2"/>
          </rPr>
          <t>Startkanal innerhalb der ersten RGB LED (0..2)</t>
        </r>
      </text>
    </comment>
    <comment ref="D4" authorId="0" shapeId="0" xr:uid="{00000000-0006-0000-0000-000002000000}">
      <text>
        <r>
          <rPr>
            <sz val="9"/>
            <color indexed="81"/>
            <rFont val="Segoe UI"/>
            <family val="2"/>
          </rPr>
          <t>Nummer des Eingangskanals (0..253).
Sypmolische Namen sind auch möglich.
z.B: SI_1 = immer an</t>
        </r>
      </text>
    </comment>
    <comment ref="D5" authorId="0" shapeId="0" xr:uid="{00000000-0006-0000-00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000-000004000000}">
      <text>
        <r>
          <rPr>
            <sz val="9"/>
            <color indexed="81"/>
            <rFont val="Segoe UI"/>
            <family val="2"/>
          </rPr>
          <t>Anzahl der Bits welche für einen Helligkeitswert benutzt werden (1..8)</t>
        </r>
      </text>
    </comment>
    <comment ref="D7" authorId="0" shapeId="0" xr:uid="{00000000-0006-0000-0000-000005000000}">
      <text>
        <r>
          <rPr>
            <sz val="9"/>
            <color indexed="81"/>
            <rFont val="Segoe UI"/>
            <family val="2"/>
          </rPr>
          <t>Dieser Wert wird verwendet wenn in der Tabelle unten nichts oder 0 steht.
Wert Min muss zwischen 0 und 255 liegen.</t>
        </r>
      </text>
    </comment>
    <comment ref="D8" authorId="0" shapeId="0" xr:uid="{00000000-0006-0000-0000-000006000000}">
      <text>
        <r>
          <rPr>
            <sz val="9"/>
            <color indexed="81"/>
            <rFont val="Segoe UI"/>
            <family val="2"/>
          </rPr>
          <t>Dieser Wert wird verwendet wenn in der Tabelle unten ein "x" oder die maximale Helligkeitsstufe steht. 
Wertebereich (0..255)</t>
        </r>
      </text>
    </comment>
    <comment ref="D9" authorId="0" shapeId="0" xr:uid="{00000000-0006-0000-00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0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0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00000000-0006-0000-0000-00000A000000}">
      <text>
        <r>
          <rPr>
            <sz val="9"/>
            <color indexed="81"/>
            <rFont val="Segoe UI"/>
            <family val="2"/>
          </rPr>
          <t>Diese Zeile kann in das Konfigurationsarray des Programms kopiert werden.</t>
        </r>
      </text>
    </comment>
    <comment ref="B41" authorId="1" shapeId="0" xr:uid="{00000000-0006-0000-0000-00000B000000}">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491674D6-04FF-4192-9F0F-4DE743076744}">
      <text>
        <r>
          <rPr>
            <sz val="9"/>
            <color indexed="81"/>
            <rFont val="Segoe UI"/>
            <family val="2"/>
          </rPr>
          <t>Startkanal innerhalb der ersten RGB LED (0..2)</t>
        </r>
      </text>
    </comment>
    <comment ref="D4" authorId="0" shapeId="0" xr:uid="{A5359A2D-86DB-4F32-8C32-23E893029C17}">
      <text>
        <r>
          <rPr>
            <sz val="9"/>
            <color indexed="81"/>
            <rFont val="Segoe UI"/>
            <family val="2"/>
          </rPr>
          <t>Nummer des Eingangskanals (0..253).
Sypmolische Namen sind auch möglich.
z.B: SI_1 = immer an</t>
        </r>
      </text>
    </comment>
    <comment ref="D5" authorId="0" shapeId="0" xr:uid="{1C2ADB83-7D2C-4913-AB45-7376DB4024C1}">
      <text>
        <r>
          <rPr>
            <sz val="9"/>
            <color indexed="81"/>
            <rFont val="Segoe UI"/>
            <family val="2"/>
          </rPr>
          <t>Bestimmt die Anzahl der Ausgabekanäle. Der Wert beschreibt die Nummer der einzelnen LEDs (Eine RGB LED besteht aus 3 einzelnen LEDs). 
Wertebereich 1..100</t>
        </r>
      </text>
    </comment>
    <comment ref="D6" authorId="0" shapeId="0" xr:uid="{3DD9E5A3-EDF3-4212-9794-55B4917150E9}">
      <text>
        <r>
          <rPr>
            <sz val="9"/>
            <color indexed="81"/>
            <rFont val="Segoe UI"/>
            <family val="2"/>
          </rPr>
          <t>Anzahl der Bits welche für einen Helligkeitswert benutzt werden (1..8)</t>
        </r>
      </text>
    </comment>
    <comment ref="D7" authorId="0" shapeId="0" xr:uid="{5E63DE15-E820-4B21-97EA-9DC3A3C6FCC9}">
      <text>
        <r>
          <rPr>
            <sz val="9"/>
            <color indexed="81"/>
            <rFont val="Segoe UI"/>
            <family val="2"/>
          </rPr>
          <t>Dieser Wert wird verwendet wenn in der Tabelle unten nichts oder 0 steht.
Wert Min muss zwischen 0 und 255 liegen.</t>
        </r>
      </text>
    </comment>
    <comment ref="D8" authorId="0" shapeId="0" xr:uid="{7BE5F07C-592E-4027-93F3-7A58B09DB000}">
      <text>
        <r>
          <rPr>
            <sz val="9"/>
            <color indexed="81"/>
            <rFont val="Segoe UI"/>
            <family val="2"/>
          </rPr>
          <t>Dieser Wert wird verwendet wenn in der Tabelle unten ein "x" oder die maximale Helligkeitsstufe steht. 
Wertebereich (0..255)</t>
        </r>
      </text>
    </comment>
    <comment ref="D9" authorId="0" shapeId="0" xr:uid="{C58E997B-E3BF-40F3-9AC7-51A0FAE40466}">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4AEA87BF-26E1-4CBD-A675-A53961A924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EF44EDCF-5AF2-4F17-AF0D-BDDF9CB0D8E9}">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CBF4BB2E-0373-4138-9E7A-7E4324A3CA72}">
      <text>
        <r>
          <rPr>
            <sz val="9"/>
            <color indexed="81"/>
            <rFont val="Segoe UI"/>
            <family val="2"/>
          </rPr>
          <t>Diese Zeile kann in das Konfigurationsarray des Programms kopiert werden.</t>
        </r>
      </text>
    </comment>
    <comment ref="B41" authorId="1" shapeId="0" xr:uid="{8A362C9C-5EBD-4257-AC9A-BDF01D897460}">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235274D0-A4E7-4630-92D5-E4116186FC7A}">
      <text>
        <r>
          <rPr>
            <sz val="9"/>
            <color indexed="81"/>
            <rFont val="Segoe UI"/>
            <family val="2"/>
          </rPr>
          <t>Startkanal innerhalb der ersten RGB LED (0..2)</t>
        </r>
      </text>
    </comment>
    <comment ref="D4" authorId="0" shapeId="0" xr:uid="{9A34751D-3AF9-4AFD-9DFD-538D5DF215F4}">
      <text>
        <r>
          <rPr>
            <sz val="9"/>
            <color indexed="81"/>
            <rFont val="Segoe UI"/>
            <family val="2"/>
          </rPr>
          <t>Nummer des Eingangskanals (0..253).
Sypmolische Namen sind auch möglich.
z.B: SI_1 = immer an</t>
        </r>
      </text>
    </comment>
    <comment ref="D5" authorId="0" shapeId="0" xr:uid="{4D4F3964-59EA-4217-9DB1-E4F9C3454995}">
      <text>
        <r>
          <rPr>
            <sz val="9"/>
            <color indexed="81"/>
            <rFont val="Segoe UI"/>
            <family val="2"/>
          </rPr>
          <t>Bestimmt die Anzahl der Ausgabekanäle. Der Wert beschreibt die Nummer der einzelnen LEDs (Eine RGB LED besteht aus 3 einzelnen LEDs). 
Wertebereich 1..100</t>
        </r>
      </text>
    </comment>
    <comment ref="D6" authorId="0" shapeId="0" xr:uid="{B10624C3-7B35-4DAB-95F2-69902A1475D9}">
      <text>
        <r>
          <rPr>
            <sz val="9"/>
            <color indexed="81"/>
            <rFont val="Segoe UI"/>
            <family val="2"/>
          </rPr>
          <t>Anzahl der Bits welche für einen Helligkeitswert benutzt werden (1..8)</t>
        </r>
      </text>
    </comment>
    <comment ref="D7" authorId="0" shapeId="0" xr:uid="{B803B3FE-C12E-4AF2-B1B0-047CEB6497BD}">
      <text>
        <r>
          <rPr>
            <sz val="9"/>
            <color indexed="81"/>
            <rFont val="Segoe UI"/>
            <family val="2"/>
          </rPr>
          <t>Dieser Wert wird verwendet wenn in der Tabelle unten nichts oder 0 steht.
Wert Min muss zwischen 0 und 255 liegen.</t>
        </r>
      </text>
    </comment>
    <comment ref="D8" authorId="0" shapeId="0" xr:uid="{397EAC8B-920A-47A4-8EF0-3E4A39D230E0}">
      <text>
        <r>
          <rPr>
            <sz val="9"/>
            <color indexed="81"/>
            <rFont val="Segoe UI"/>
            <family val="2"/>
          </rPr>
          <t>Dieser Wert wird verwendet wenn in der Tabelle unten ein "x" oder die maximale Helligkeitsstufe steht. 
Wertebereich (0..255)</t>
        </r>
      </text>
    </comment>
    <comment ref="D9" authorId="0" shapeId="0" xr:uid="{A5D88446-0997-48DA-AB3C-CB4BEEFA71DE}">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86F90C5D-A8CB-4BE0-AADA-3E72B98DC39C}">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290A6988-E38F-4C42-9911-4164DD069A59}">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4FE9AE70-78E7-47CC-8A1F-3D6C3558DEB6}">
      <text>
        <r>
          <rPr>
            <sz val="9"/>
            <color indexed="81"/>
            <rFont val="Segoe UI"/>
            <family val="2"/>
          </rPr>
          <t>Diese Zeile kann in das Konfigurationsarray des Programms kopiert werden.</t>
        </r>
      </text>
    </comment>
    <comment ref="B41" authorId="1" shapeId="0" xr:uid="{90F4292B-EE26-4AED-8BE4-79509327771F}">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100-000001000000}">
      <text>
        <r>
          <rPr>
            <sz val="9"/>
            <color indexed="81"/>
            <rFont val="Segoe UI"/>
            <family val="2"/>
          </rPr>
          <t>Startkanal innerhalb der ersten RGB LED (0..2)</t>
        </r>
      </text>
    </comment>
    <comment ref="D4" authorId="0" shapeId="0" xr:uid="{00000000-0006-0000-0100-000002000000}">
      <text>
        <r>
          <rPr>
            <sz val="9"/>
            <color indexed="81"/>
            <rFont val="Segoe UI"/>
            <family val="2"/>
          </rPr>
          <t>Nummer des Eingangskanals (0..253).
Sypmolische Namen sind auch möglich.
z.B: SI_1 = immer an</t>
        </r>
      </text>
    </comment>
    <comment ref="D5" authorId="0" shapeId="0" xr:uid="{00000000-0006-0000-01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100-000004000000}">
      <text>
        <r>
          <rPr>
            <sz val="9"/>
            <color indexed="81"/>
            <rFont val="Segoe UI"/>
            <family val="2"/>
          </rPr>
          <t>Anzahl der Bits welche für einen Helligkeitswert benutzt werden (1..8)</t>
        </r>
      </text>
    </comment>
    <comment ref="D7" authorId="0" shapeId="0" xr:uid="{00000000-0006-0000-0100-000005000000}">
      <text>
        <r>
          <rPr>
            <sz val="9"/>
            <color indexed="81"/>
            <rFont val="Segoe UI"/>
            <family val="2"/>
          </rPr>
          <t>Dieser Wert wird verwendet wenn in der Tabelle unten nichts oder 0 steht.
Wert Min muss zwischen 0 und 255 liegen.</t>
        </r>
      </text>
    </comment>
    <comment ref="D8" authorId="0" shapeId="0" xr:uid="{00000000-0006-0000-0100-000006000000}">
      <text>
        <r>
          <rPr>
            <sz val="9"/>
            <color indexed="81"/>
            <rFont val="Segoe UI"/>
            <family val="2"/>
          </rPr>
          <t>Dieser Wert wird verwendet wenn in der Tabelle unten ein "x" oder die maximale Helligkeitsstufe steht. 
Wertebereich (0..255)</t>
        </r>
      </text>
    </comment>
    <comment ref="D9" authorId="0" shapeId="0" xr:uid="{00000000-0006-0000-01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1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1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00000000-0006-0000-0100-00000A000000}">
      <text>
        <r>
          <rPr>
            <sz val="9"/>
            <color indexed="81"/>
            <rFont val="Segoe UI"/>
            <family val="2"/>
          </rPr>
          <t>Diese Zeile kann in das Konfigurationsarray des Programms kopiert werden.</t>
        </r>
      </text>
    </comment>
    <comment ref="B39" authorId="1" shapeId="0" xr:uid="{00000000-0006-0000-0100-00000B000000}">
      <text>
        <r>
          <rPr>
            <sz val="8"/>
            <color indexed="81"/>
            <rFont val="Segoe UI"/>
            <family val="2"/>
          </rPr>
          <t>In dieser Zeile werden die 
- Startspalten (S)
- Goto Anweisungen (G nr)
- GoEnd Anweisungen (E - nr)
eingetragen wenn der Goto Mode aktiviert ist.
Die Startspalten werden angesprungen wenn ein vorangegangener Befehl (z.B. Counter) eine neuen Wert ermittelt hat. Die erste mit S markierte Spalte wird angesprungen wenn eine 1 ermittelt wurde. 
Mit der Goto und GoEnd Anweisung wird die als nächstes auszuführende Spalte bestimmt. 
Die Nummer nach dem Goto Befehl beschreibt die Splatennummer.
Bei dem GoEnd Befehl wird eine negative Zahl erwartet. Diese Beschreibt die Spalte vor der Letzten benutzten Eintrag. Diese Adressierung hat den vorteil, dass die Zielspalten nicht angepasst werden müssen wenn zusätzliche Spalten eingefügt werden.
Start und Goto oder GoEnd können gemeinsam in einer Zelle benutzt werden.
Beispiel:
   S  GoEnd -3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300-000001000000}">
      <text>
        <r>
          <rPr>
            <sz val="9"/>
            <color indexed="81"/>
            <rFont val="Segoe UI"/>
            <family val="2"/>
          </rPr>
          <t>Startkanal innerhalb der ersten RGB LED (0..2)</t>
        </r>
      </text>
    </comment>
    <comment ref="D4" authorId="0" shapeId="0" xr:uid="{00000000-0006-0000-0300-000002000000}">
      <text>
        <r>
          <rPr>
            <sz val="9"/>
            <color indexed="81"/>
            <rFont val="Segoe UI"/>
            <family val="2"/>
          </rPr>
          <t>Nummer des Eingangskanals (0..253).
Sypmolische Namen sind auch möglich.
z.B: SI_1 = immer an</t>
        </r>
      </text>
    </comment>
    <comment ref="D5" authorId="0" shapeId="0" xr:uid="{00000000-0006-0000-03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300-000004000000}">
      <text>
        <r>
          <rPr>
            <sz val="9"/>
            <color indexed="81"/>
            <rFont val="Segoe UI"/>
            <family val="2"/>
          </rPr>
          <t>Anzahl der Bits welche für einen Helligkeitswert benutzt werden (1..8)</t>
        </r>
      </text>
    </comment>
    <comment ref="D7" authorId="0" shapeId="0" xr:uid="{00000000-0006-0000-0300-000005000000}">
      <text>
        <r>
          <rPr>
            <sz val="9"/>
            <color indexed="81"/>
            <rFont val="Segoe UI"/>
            <family val="2"/>
          </rPr>
          <t>Dieser Wert wird verwendet wenn in der Tabelle unten nichts oder 0 steht.
Wert Min muss zwischen 0 und 255 liegen.</t>
        </r>
      </text>
    </comment>
    <comment ref="D8" authorId="0" shapeId="0" xr:uid="{00000000-0006-0000-0300-000006000000}">
      <text>
        <r>
          <rPr>
            <sz val="9"/>
            <color indexed="81"/>
            <rFont val="Segoe UI"/>
            <family val="2"/>
          </rPr>
          <t>Dieser Wert wird verwendet wenn in der Tabelle unten ein "x" oder die maximale Helligkeitsstufe steht. 
Wertebereich (0..255)</t>
        </r>
      </text>
    </comment>
    <comment ref="D9" authorId="0" shapeId="0" xr:uid="{00000000-0006-0000-03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3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3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300-00000A000000}">
      <text>
        <r>
          <rPr>
            <sz val="9"/>
            <color indexed="81"/>
            <rFont val="Segoe UI"/>
            <family val="2"/>
          </rPr>
          <t>Diese Zeile kann in das Konfigurationsarray des Programms kopiert werden.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400-000001000000}">
      <text>
        <r>
          <rPr>
            <sz val="9"/>
            <color indexed="81"/>
            <rFont val="Segoe UI"/>
            <family val="2"/>
          </rPr>
          <t>Startkanal innerhalb der ersten RGB LED (0..2)</t>
        </r>
      </text>
    </comment>
    <comment ref="D4" authorId="0" shapeId="0" xr:uid="{00000000-0006-0000-0400-000002000000}">
      <text>
        <r>
          <rPr>
            <sz val="9"/>
            <color indexed="81"/>
            <rFont val="Segoe UI"/>
            <family val="2"/>
          </rPr>
          <t>Nummer des Eingangskanals (0..253).
Sypmolische Namen sind auch möglich.
z.B: SI_1 = immer an</t>
        </r>
      </text>
    </comment>
    <comment ref="D5" authorId="0" shapeId="0" xr:uid="{00000000-0006-0000-04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400-000004000000}">
      <text>
        <r>
          <rPr>
            <sz val="9"/>
            <color indexed="81"/>
            <rFont val="Segoe UI"/>
            <family val="2"/>
          </rPr>
          <t>Anzahl der Bits welche für einen Helligkeitswert benutzt werden (1..8)</t>
        </r>
      </text>
    </comment>
    <comment ref="D7" authorId="0" shapeId="0" xr:uid="{00000000-0006-0000-0400-000005000000}">
      <text>
        <r>
          <rPr>
            <sz val="9"/>
            <color indexed="81"/>
            <rFont val="Segoe UI"/>
            <family val="2"/>
          </rPr>
          <t>Dieser Wert wird verwendet wenn in der Tabelle unten nichts oder 0 steht.
Wert Min muss zwischen 0 und 255 liegen.</t>
        </r>
      </text>
    </comment>
    <comment ref="D8" authorId="0" shapeId="0" xr:uid="{00000000-0006-0000-0400-000006000000}">
      <text>
        <r>
          <rPr>
            <sz val="9"/>
            <color indexed="81"/>
            <rFont val="Segoe UI"/>
            <family val="2"/>
          </rPr>
          <t>Dieser Wert wird verwendet wenn in der Tabelle unten ein "x" oder die maximale Helligkeitsstufe steht. 
Wertebereich (0..255)</t>
        </r>
      </text>
    </comment>
    <comment ref="D9" authorId="0" shapeId="0" xr:uid="{00000000-0006-0000-04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4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4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400-00000A000000}">
      <text>
        <r>
          <rPr>
            <sz val="9"/>
            <color indexed="81"/>
            <rFont val="Segoe UI"/>
            <family val="2"/>
          </rPr>
          <t>Diese Zeile kann in das Konfigurationsarray des Programms kopiert werden.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500-000001000000}">
      <text>
        <r>
          <rPr>
            <sz val="9"/>
            <color indexed="81"/>
            <rFont val="Segoe UI"/>
            <family val="2"/>
          </rPr>
          <t>Startkanal innerhalb der ersten RGB LED (0..2)</t>
        </r>
      </text>
    </comment>
    <comment ref="D4" authorId="0" shapeId="0" xr:uid="{00000000-0006-0000-0500-000002000000}">
      <text>
        <r>
          <rPr>
            <sz val="9"/>
            <color indexed="81"/>
            <rFont val="Segoe UI"/>
            <family val="2"/>
          </rPr>
          <t>Nummer des Eingangskanals (0..253).
Sypmolische Namen sind auch möglich.
z.B: SI_1 = immer an</t>
        </r>
      </text>
    </comment>
    <comment ref="D5" authorId="0" shapeId="0" xr:uid="{00000000-0006-0000-05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500-000004000000}">
      <text>
        <r>
          <rPr>
            <sz val="9"/>
            <color indexed="81"/>
            <rFont val="Segoe UI"/>
            <family val="2"/>
          </rPr>
          <t>Anzahl der Bits welche für einen Helligkeitswert benutzt werden (1..8)</t>
        </r>
      </text>
    </comment>
    <comment ref="D7" authorId="0" shapeId="0" xr:uid="{00000000-0006-0000-0500-000005000000}">
      <text>
        <r>
          <rPr>
            <sz val="9"/>
            <color indexed="81"/>
            <rFont val="Segoe UI"/>
            <family val="2"/>
          </rPr>
          <t>Dieser Wert wird verwendet wenn in der Tabelle unten nichts oder 0 steht.
Wert Min muss zwischen 0 und 255 liegen.</t>
        </r>
      </text>
    </comment>
    <comment ref="D8" authorId="0" shapeId="0" xr:uid="{00000000-0006-0000-0500-000006000000}">
      <text>
        <r>
          <rPr>
            <sz val="9"/>
            <color indexed="81"/>
            <rFont val="Segoe UI"/>
            <family val="2"/>
          </rPr>
          <t>Dieser Wert wird verwendet wenn in der Tabelle unten ein "x" oder die maximale Helligkeitsstufe steht. 
Wertebereich (0..255)</t>
        </r>
      </text>
    </comment>
    <comment ref="D9" authorId="0" shapeId="0" xr:uid="{00000000-0006-0000-05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5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5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500-00000A000000}">
      <text>
        <r>
          <rPr>
            <sz val="9"/>
            <color indexed="81"/>
            <rFont val="Segoe UI"/>
            <family val="2"/>
          </rPr>
          <t>Diese Zeile kann in das Konfigurationsarray des Programms kopiert werden.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600-000001000000}">
      <text>
        <r>
          <rPr>
            <sz val="9"/>
            <color indexed="81"/>
            <rFont val="Segoe UI"/>
            <family val="2"/>
          </rPr>
          <t>Startkanal innerhalb der ersten RGB LED (0..2)</t>
        </r>
      </text>
    </comment>
    <comment ref="D4" authorId="0" shapeId="0" xr:uid="{00000000-0006-0000-0600-000002000000}">
      <text>
        <r>
          <rPr>
            <sz val="9"/>
            <color indexed="81"/>
            <rFont val="Segoe UI"/>
            <family val="2"/>
          </rPr>
          <t>Nummer des Eingangskanals (0..253).
Sypmolische Namen sind auch möglich.
z.B: SI_1 = immer an</t>
        </r>
      </text>
    </comment>
    <comment ref="D5" authorId="0" shapeId="0" xr:uid="{00000000-0006-0000-06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600-000004000000}">
      <text>
        <r>
          <rPr>
            <sz val="9"/>
            <color indexed="81"/>
            <rFont val="Segoe UI"/>
            <family val="2"/>
          </rPr>
          <t>Anzahl der Bits welche für einen Helligkeitswert benutzt werden (1..8)</t>
        </r>
      </text>
    </comment>
    <comment ref="D7" authorId="0" shapeId="0" xr:uid="{00000000-0006-0000-0600-000005000000}">
      <text>
        <r>
          <rPr>
            <sz val="9"/>
            <color indexed="81"/>
            <rFont val="Segoe UI"/>
            <family val="2"/>
          </rPr>
          <t>Dieser Wert wird verwendet wenn in der Tabelle unten nichts oder 0 steht.
Wert Min muss zwischen 0 und 255 liegen.</t>
        </r>
      </text>
    </comment>
    <comment ref="D8" authorId="0" shapeId="0" xr:uid="{00000000-0006-0000-0600-000006000000}">
      <text>
        <r>
          <rPr>
            <sz val="9"/>
            <color indexed="81"/>
            <rFont val="Segoe UI"/>
            <family val="2"/>
          </rPr>
          <t>Dieser Wert wird verwendet wenn in der Tabelle unten ein "x" oder die maximale Helligkeitsstufe steht. 
Wertebereich (0..255)</t>
        </r>
      </text>
    </comment>
    <comment ref="D9" authorId="0" shapeId="0" xr:uid="{00000000-0006-0000-06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6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6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600-00000A000000}">
      <text>
        <r>
          <rPr>
            <sz val="9"/>
            <color indexed="81"/>
            <rFont val="Segoe UI"/>
            <family val="2"/>
          </rPr>
          <t>Diese Zeile kann in das Konfigurationsarray des Programms kopiert werden.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700-000001000000}">
      <text>
        <r>
          <rPr>
            <sz val="9"/>
            <color indexed="81"/>
            <rFont val="Segoe UI"/>
            <family val="2"/>
          </rPr>
          <t>Startkanal innerhalb der ersten RGB LED (0..2)</t>
        </r>
      </text>
    </comment>
    <comment ref="D4" authorId="0" shapeId="0" xr:uid="{00000000-0006-0000-0700-000002000000}">
      <text>
        <r>
          <rPr>
            <sz val="9"/>
            <color indexed="81"/>
            <rFont val="Segoe UI"/>
            <family val="2"/>
          </rPr>
          <t>Nummer des Eingangskanals (0..253).
Sypmolische Namen sind auch möglich.
z.B: SI_1 = immer an</t>
        </r>
      </text>
    </comment>
    <comment ref="D5" authorId="0" shapeId="0" xr:uid="{00000000-0006-0000-07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700-000004000000}">
      <text>
        <r>
          <rPr>
            <sz val="9"/>
            <color indexed="81"/>
            <rFont val="Segoe UI"/>
            <family val="2"/>
          </rPr>
          <t>Anzahl der Bits welche für einen Helligkeitswert benutzt werden (1..8)</t>
        </r>
      </text>
    </comment>
    <comment ref="D7" authorId="0" shapeId="0" xr:uid="{00000000-0006-0000-0700-000005000000}">
      <text>
        <r>
          <rPr>
            <sz val="9"/>
            <color indexed="81"/>
            <rFont val="Segoe UI"/>
            <family val="2"/>
          </rPr>
          <t>Dieser Wert wird verwendet wenn in der Tabelle unten nichts oder 0 steht.
Wert Min muss zwischen 0 und 255 liegen.</t>
        </r>
      </text>
    </comment>
    <comment ref="D8" authorId="0" shapeId="0" xr:uid="{00000000-0006-0000-0700-000006000000}">
      <text>
        <r>
          <rPr>
            <sz val="9"/>
            <color indexed="81"/>
            <rFont val="Segoe UI"/>
            <family val="2"/>
          </rPr>
          <t>Dieser Wert wird verwendet wenn in der Tabelle unten ein "x" oder die maximale Helligkeitsstufe steht. 
Wertebereich (0..255)</t>
        </r>
      </text>
    </comment>
    <comment ref="D9" authorId="0" shapeId="0" xr:uid="{00000000-0006-0000-07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7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7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700-00000A000000}">
      <text>
        <r>
          <rPr>
            <sz val="9"/>
            <color indexed="81"/>
            <rFont val="Segoe UI"/>
            <family val="2"/>
          </rPr>
          <t>Diese Zeile kann in das Konfigurationsarray des Programms kopiert werden.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800-000001000000}">
      <text>
        <r>
          <rPr>
            <sz val="9"/>
            <color indexed="81"/>
            <rFont val="Segoe UI"/>
            <family val="2"/>
          </rPr>
          <t>Startkanal innerhalb der ersten RGB LED (0..2)</t>
        </r>
      </text>
    </comment>
    <comment ref="D4" authorId="0" shapeId="0" xr:uid="{00000000-0006-0000-0800-000002000000}">
      <text>
        <r>
          <rPr>
            <sz val="9"/>
            <color indexed="81"/>
            <rFont val="Segoe UI"/>
            <family val="2"/>
          </rPr>
          <t>Nummer des Eingangskanals (0..253).
Sypmolische Namen sind auch möglich.
z.B: SI_1 = immer an</t>
        </r>
      </text>
    </comment>
    <comment ref="D5" authorId="0" shapeId="0" xr:uid="{00000000-0006-0000-08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800-000004000000}">
      <text>
        <r>
          <rPr>
            <sz val="9"/>
            <color indexed="81"/>
            <rFont val="Segoe UI"/>
            <family val="2"/>
          </rPr>
          <t>Anzahl der Bits welche für einen Helligkeitswert benutzt werden (1..8)</t>
        </r>
      </text>
    </comment>
    <comment ref="D7" authorId="0" shapeId="0" xr:uid="{00000000-0006-0000-0800-000005000000}">
      <text>
        <r>
          <rPr>
            <sz val="9"/>
            <color indexed="81"/>
            <rFont val="Segoe UI"/>
            <family val="2"/>
          </rPr>
          <t>Dieser Wert wird verwendet wenn in der Tabelle unten nichts oder 0 steht.
Wert Min muss zwischen 0 und 255 liegen.</t>
        </r>
      </text>
    </comment>
    <comment ref="D8" authorId="0" shapeId="0" xr:uid="{00000000-0006-0000-0800-000006000000}">
      <text>
        <r>
          <rPr>
            <sz val="9"/>
            <color indexed="81"/>
            <rFont val="Segoe UI"/>
            <family val="2"/>
          </rPr>
          <t>Dieser Wert wird verwendet wenn in der Tabelle unten ein "x" oder die maximale Helligkeitsstufe steht. 
Wertebereich (0..255)</t>
        </r>
      </text>
    </comment>
    <comment ref="D9" authorId="0" shapeId="0" xr:uid="{00000000-0006-0000-08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8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8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800-00000A000000}">
      <text>
        <r>
          <rPr>
            <sz val="9"/>
            <color indexed="81"/>
            <rFont val="Segoe UI"/>
            <family val="2"/>
          </rPr>
          <t>Diese Zeile kann in das Konfigurationsarray des Programms kopiert werden.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900-000001000000}">
      <text>
        <r>
          <rPr>
            <sz val="9"/>
            <color indexed="81"/>
            <rFont val="Segoe UI"/>
            <family val="2"/>
          </rPr>
          <t>Startkanal innerhalb der ersten RGB LED (0..2)</t>
        </r>
      </text>
    </comment>
    <comment ref="D4" authorId="0" shapeId="0" xr:uid="{00000000-0006-0000-0900-000002000000}">
      <text>
        <r>
          <rPr>
            <sz val="9"/>
            <color indexed="81"/>
            <rFont val="Segoe UI"/>
            <family val="2"/>
          </rPr>
          <t>Nummer des Eingangskanals (0..253).
Sypmolische Namen sind auch möglich.
z.B: SI_1 = immer an</t>
        </r>
      </text>
    </comment>
    <comment ref="D5" authorId="0" shapeId="0" xr:uid="{00000000-0006-0000-09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900-000004000000}">
      <text>
        <r>
          <rPr>
            <sz val="9"/>
            <color indexed="81"/>
            <rFont val="Segoe UI"/>
            <family val="2"/>
          </rPr>
          <t>Anzahl der Bits welche für einen Helligkeitswert benutzt werden (1..8)</t>
        </r>
      </text>
    </comment>
    <comment ref="D7" authorId="0" shapeId="0" xr:uid="{00000000-0006-0000-0900-000005000000}">
      <text>
        <r>
          <rPr>
            <sz val="9"/>
            <color indexed="81"/>
            <rFont val="Segoe UI"/>
            <family val="2"/>
          </rPr>
          <t>Dieser Wert wird verwendet wenn in der Tabelle unten nichts oder 0 steht.
Wert Min muss zwischen 0 und 255 liegen.</t>
        </r>
      </text>
    </comment>
    <comment ref="D8" authorId="0" shapeId="0" xr:uid="{00000000-0006-0000-0900-000006000000}">
      <text>
        <r>
          <rPr>
            <sz val="9"/>
            <color indexed="81"/>
            <rFont val="Segoe UI"/>
            <family val="2"/>
          </rPr>
          <t>Dieser Wert wird verwendet wenn in der Tabelle unten ein "x" oder die maximale Helligkeitsstufe steht. 
Wertebereich (0..255)</t>
        </r>
      </text>
    </comment>
    <comment ref="D9" authorId="0" shapeId="0" xr:uid="{00000000-0006-0000-09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9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9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900-00000A000000}">
      <text>
        <r>
          <rPr>
            <sz val="9"/>
            <color indexed="81"/>
            <rFont val="Segoe UI"/>
            <family val="2"/>
          </rPr>
          <t>Diese Zeile kann in das Konfigurationsarray des Programms kopiert werden.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A00-000001000000}">
      <text>
        <r>
          <rPr>
            <sz val="9"/>
            <color indexed="81"/>
            <rFont val="Segoe UI"/>
            <family val="2"/>
          </rPr>
          <t>Startkanal innerhalb der ersten RGB LED (0..2)</t>
        </r>
      </text>
    </comment>
    <comment ref="D4" authorId="0" shapeId="0" xr:uid="{00000000-0006-0000-0A00-000002000000}">
      <text>
        <r>
          <rPr>
            <sz val="9"/>
            <color indexed="81"/>
            <rFont val="Segoe UI"/>
            <family val="2"/>
          </rPr>
          <t>Nummer des Eingangskanals (0..253).
Sypmolische Namen sind auch möglich.
z.B: SI_1 = immer an</t>
        </r>
      </text>
    </comment>
    <comment ref="D5" authorId="0" shapeId="0" xr:uid="{00000000-0006-0000-0A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A00-000004000000}">
      <text>
        <r>
          <rPr>
            <sz val="9"/>
            <color indexed="81"/>
            <rFont val="Segoe UI"/>
            <family val="2"/>
          </rPr>
          <t>Anzahl der Bits welche für einen Helligkeitswert benutzt werden (1..8)</t>
        </r>
      </text>
    </comment>
    <comment ref="D7" authorId="0" shapeId="0" xr:uid="{00000000-0006-0000-0A00-000005000000}">
      <text>
        <r>
          <rPr>
            <sz val="9"/>
            <color indexed="81"/>
            <rFont val="Segoe UI"/>
            <family val="2"/>
          </rPr>
          <t>Dieser Wert wird verwendet wenn in der Tabelle unten nichts oder 0 steht.
Wert Min muss zwischen 0 und 255 liegen.</t>
        </r>
      </text>
    </comment>
    <comment ref="D8" authorId="0" shapeId="0" xr:uid="{00000000-0006-0000-0A00-000006000000}">
      <text>
        <r>
          <rPr>
            <sz val="9"/>
            <color indexed="81"/>
            <rFont val="Segoe UI"/>
            <family val="2"/>
          </rPr>
          <t>Dieser Wert wird verwendet wenn in der Tabelle unten ein "x" oder die maximale Helligkeitsstufe steht. 
Wertebereich (0..255)</t>
        </r>
      </text>
    </comment>
    <comment ref="D9" authorId="0" shapeId="0" xr:uid="{00000000-0006-0000-0A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A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A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A00-00000A000000}">
      <text>
        <r>
          <rPr>
            <sz val="9"/>
            <color indexed="81"/>
            <rFont val="Segoe UI"/>
            <family val="2"/>
          </rPr>
          <t>Diese Zeile kann in das Konfigurationsarray des Programms kopiert werden.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B00-000001000000}">
      <text>
        <r>
          <rPr>
            <sz val="9"/>
            <color indexed="81"/>
            <rFont val="Segoe UI"/>
            <family val="2"/>
          </rPr>
          <t>Startkanal innerhalb der ersten RGB LED (0..2)</t>
        </r>
      </text>
    </comment>
    <comment ref="D4" authorId="0" shapeId="0" xr:uid="{00000000-0006-0000-0B00-000002000000}">
      <text>
        <r>
          <rPr>
            <sz val="9"/>
            <color indexed="81"/>
            <rFont val="Segoe UI"/>
            <family val="2"/>
          </rPr>
          <t>Nummer des Eingangskanals (0..253).
Sypmolische Namen sind auch möglich.
z.B: SI_1 = immer an</t>
        </r>
      </text>
    </comment>
    <comment ref="D5" authorId="0" shapeId="0" xr:uid="{00000000-0006-0000-0B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B00-000004000000}">
      <text>
        <r>
          <rPr>
            <sz val="9"/>
            <color indexed="81"/>
            <rFont val="Segoe UI"/>
            <family val="2"/>
          </rPr>
          <t>Anzahl der Bits welche für einen Helligkeitswert benutzt werden (1..8)</t>
        </r>
      </text>
    </comment>
    <comment ref="D7" authorId="0" shapeId="0" xr:uid="{00000000-0006-0000-0B00-000005000000}">
      <text>
        <r>
          <rPr>
            <sz val="9"/>
            <color indexed="81"/>
            <rFont val="Segoe UI"/>
            <family val="2"/>
          </rPr>
          <t>Dieser Wert wird verwendet wenn in der Tabelle unten nichts oder 0 steht.
Wert Min muss zwischen 0 und 255 liegen.</t>
        </r>
      </text>
    </comment>
    <comment ref="D8" authorId="0" shapeId="0" xr:uid="{00000000-0006-0000-0B00-000006000000}">
      <text>
        <r>
          <rPr>
            <sz val="9"/>
            <color indexed="81"/>
            <rFont val="Segoe UI"/>
            <family val="2"/>
          </rPr>
          <t>Dieser Wert wird verwendet wenn in der Tabelle unten ein "x" oder die maximale Helligkeitsstufe steht. 
Wertebereich (0..255)</t>
        </r>
      </text>
    </comment>
    <comment ref="D9" authorId="0" shapeId="0" xr:uid="{00000000-0006-0000-0B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B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B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B00-00000A000000}">
      <text>
        <r>
          <rPr>
            <sz val="9"/>
            <color indexed="81"/>
            <rFont val="Segoe UI"/>
            <family val="2"/>
          </rPr>
          <t>Diese Zeile kann in das Konfigurationsarray des Programms kopiert werden.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C00-000001000000}">
      <text>
        <r>
          <rPr>
            <sz val="9"/>
            <color indexed="81"/>
            <rFont val="Segoe UI"/>
            <family val="2"/>
          </rPr>
          <t>Startkanal innerhalb der ersten RGB LED (0..2)</t>
        </r>
      </text>
    </comment>
    <comment ref="D4" authorId="0" shapeId="0" xr:uid="{00000000-0006-0000-0C00-000002000000}">
      <text>
        <r>
          <rPr>
            <sz val="9"/>
            <color indexed="81"/>
            <rFont val="Segoe UI"/>
            <family val="2"/>
          </rPr>
          <t>Nummer des Eingangskanals (0..253).
Sypmolische Namen sind auch möglich.
z.B: SI_1 = immer an</t>
        </r>
      </text>
    </comment>
    <comment ref="D5" authorId="0" shapeId="0" xr:uid="{00000000-0006-0000-0C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C00-000004000000}">
      <text>
        <r>
          <rPr>
            <sz val="9"/>
            <color indexed="81"/>
            <rFont val="Segoe UI"/>
            <family val="2"/>
          </rPr>
          <t>Anzahl der Bits welche für einen Helligkeitswert benutzt werden (1..8)</t>
        </r>
      </text>
    </comment>
    <comment ref="D7" authorId="0" shapeId="0" xr:uid="{00000000-0006-0000-0C00-000005000000}">
      <text>
        <r>
          <rPr>
            <sz val="9"/>
            <color indexed="81"/>
            <rFont val="Segoe UI"/>
            <family val="2"/>
          </rPr>
          <t>Dieser Wert wird verwendet wenn in der Tabelle unten nichts oder 0 steht.
Wert Min muss zwischen 0 und 255 liegen.</t>
        </r>
      </text>
    </comment>
    <comment ref="D8" authorId="0" shapeId="0" xr:uid="{00000000-0006-0000-0C00-000006000000}">
      <text>
        <r>
          <rPr>
            <sz val="9"/>
            <color indexed="81"/>
            <rFont val="Segoe UI"/>
            <family val="2"/>
          </rPr>
          <t>Dieser Wert wird verwendet wenn in der Tabelle unten ein "x" oder die maximale Helligkeitsstufe steht. 
Wertebereich (0..255)</t>
        </r>
      </text>
    </comment>
    <comment ref="D9" authorId="0" shapeId="0" xr:uid="{00000000-0006-0000-0C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C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C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C00-00000A000000}">
      <text>
        <r>
          <rPr>
            <sz val="9"/>
            <color indexed="81"/>
            <rFont val="Segoe UI"/>
            <family val="2"/>
          </rPr>
          <t>Diese Zeile kann in das Konfigurationsarray des Programms kopiert werden.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940119D6-97CF-4DBA-B5A2-D28DD2231B2C}">
      <text>
        <r>
          <rPr>
            <sz val="9"/>
            <color indexed="81"/>
            <rFont val="Segoe UI"/>
            <family val="2"/>
          </rPr>
          <t>Startkanal innerhalb der ersten RGB LED (0..2)</t>
        </r>
      </text>
    </comment>
    <comment ref="D4" authorId="0" shapeId="0" xr:uid="{AC0B2207-5595-42D4-9A1D-C43E576D3409}">
      <text>
        <r>
          <rPr>
            <sz val="9"/>
            <color indexed="81"/>
            <rFont val="Segoe UI"/>
            <family val="2"/>
          </rPr>
          <t>Nummer des Eingangskanals (0..253).
Sypmolische Namen sind auch möglich.
z.B: SI_1 = immer an</t>
        </r>
      </text>
    </comment>
    <comment ref="D5" authorId="0" shapeId="0" xr:uid="{0966ED15-42F1-4BE7-8FEE-2EB723695790}">
      <text>
        <r>
          <rPr>
            <sz val="9"/>
            <color indexed="81"/>
            <rFont val="Segoe UI"/>
            <family val="2"/>
          </rPr>
          <t>Bestimmt die Anzahl der Ausgabekanäle. Der Wert beschreibt die Nummer der einzelnen LEDs (Eine RGB LED besteht aus 3 einzelnen LEDs). 
Wertebereich 1..100</t>
        </r>
      </text>
    </comment>
    <comment ref="D6" authorId="0" shapeId="0" xr:uid="{87196C03-C74D-436E-B890-187DFF9E924A}">
      <text>
        <r>
          <rPr>
            <sz val="9"/>
            <color indexed="81"/>
            <rFont val="Segoe UI"/>
            <family val="2"/>
          </rPr>
          <t>Anzahl der Bits welche für einen Helligkeitswert benutzt werden (1..8)</t>
        </r>
      </text>
    </comment>
    <comment ref="D7" authorId="0" shapeId="0" xr:uid="{464D0D5A-9673-4C24-8CDE-A3F26B9A7B60}">
      <text>
        <r>
          <rPr>
            <sz val="9"/>
            <color indexed="81"/>
            <rFont val="Segoe UI"/>
            <family val="2"/>
          </rPr>
          <t>Dieser Wert wird verwendet wenn in der Tabelle unten nichts oder 0 steht.
Wert Min muss zwischen 0 und 255 liegen.</t>
        </r>
      </text>
    </comment>
    <comment ref="D8" authorId="0" shapeId="0" xr:uid="{EF6F230B-7874-4DD7-B2E5-4BFAE1578B45}">
      <text>
        <r>
          <rPr>
            <sz val="9"/>
            <color indexed="81"/>
            <rFont val="Segoe UI"/>
            <family val="2"/>
          </rPr>
          <t>Dieser Wert wird verwendet wenn in der Tabelle unten ein "x" oder die maximale Helligkeitsstufe steht. 
Wertebereich (0..255)</t>
        </r>
      </text>
    </comment>
    <comment ref="D9" authorId="0" shapeId="0" xr:uid="{2B90FEB2-2A96-42D7-BBD5-115E2D158A2F}">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968D3477-0921-41EC-9FCD-E5D1102AB906}">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22FF047D-B9B0-48DE-BDA6-8AFB8C728366}">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FA4A117C-FB46-4443-BECB-5D33AD5A9EC4}">
      <text>
        <r>
          <rPr>
            <sz val="9"/>
            <color indexed="81"/>
            <rFont val="Segoe UI"/>
            <family val="2"/>
          </rPr>
          <t>Diese Zeile kann in das Konfigurationsarray des Programms kopiert werden.</t>
        </r>
      </text>
    </comment>
    <comment ref="B41" authorId="1" shapeId="0" xr:uid="{F96FCE94-80B0-4504-B0E7-270EFCC2C245}">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1BCA3D4-CBD5-471F-8F2A-A04748498C4E}">
      <text>
        <r>
          <rPr>
            <sz val="9"/>
            <color indexed="81"/>
            <rFont val="Segoe UI"/>
            <family val="2"/>
          </rPr>
          <t>Startkanal innerhalb der ersten RGB LED (0..2)</t>
        </r>
      </text>
    </comment>
    <comment ref="D4" authorId="0" shapeId="0" xr:uid="{4DDEDA46-D165-48C6-9930-7982F514A669}">
      <text>
        <r>
          <rPr>
            <sz val="9"/>
            <color indexed="81"/>
            <rFont val="Segoe UI"/>
            <family val="2"/>
          </rPr>
          <t>Nummer des Eingangskanals (0..253).
Sypmolische Namen sind auch möglich.
z.B: SI_1 = immer an</t>
        </r>
      </text>
    </comment>
    <comment ref="D5" authorId="0" shapeId="0" xr:uid="{33B3E0E5-D66E-41A9-9A55-364E9FB893F3}">
      <text>
        <r>
          <rPr>
            <sz val="9"/>
            <color indexed="81"/>
            <rFont val="Segoe UI"/>
            <family val="2"/>
          </rPr>
          <t>Bestimmt die Anzahl der Ausgabekanäle. Der Wert beschreibt die Nummer der einzelnen LEDs (Eine RGB LED besteht aus 3 einzelnen LEDs). 
Wertebereich 1..100</t>
        </r>
      </text>
    </comment>
    <comment ref="D6" authorId="0" shapeId="0" xr:uid="{9E7C0C97-CA7A-4DE9-A10D-1FD2FDD4AFA0}">
      <text>
        <r>
          <rPr>
            <sz val="9"/>
            <color indexed="81"/>
            <rFont val="Segoe UI"/>
            <family val="2"/>
          </rPr>
          <t>Anzahl der Bits welche für einen Helligkeitswert benutzt werden (1..8)</t>
        </r>
      </text>
    </comment>
    <comment ref="D7" authorId="0" shapeId="0" xr:uid="{E34C8244-001A-4A17-AD7B-DB1FC4B74E6A}">
      <text>
        <r>
          <rPr>
            <sz val="9"/>
            <color indexed="81"/>
            <rFont val="Segoe UI"/>
            <family val="2"/>
          </rPr>
          <t>Dieser Wert wird verwendet wenn in der Tabelle unten nichts oder 0 steht.
Wert Min muss zwischen 0 und 255 liegen.</t>
        </r>
      </text>
    </comment>
    <comment ref="D8" authorId="0" shapeId="0" xr:uid="{938BE2A2-714E-449D-8F03-CC9A43B72C11}">
      <text>
        <r>
          <rPr>
            <sz val="9"/>
            <color indexed="81"/>
            <rFont val="Segoe UI"/>
            <family val="2"/>
          </rPr>
          <t>Dieser Wert wird verwendet wenn in der Tabelle unten ein "x" oder die maximale Helligkeitsstufe steht. 
Wertebereich (0..255)</t>
        </r>
      </text>
    </comment>
    <comment ref="D9" authorId="0" shapeId="0" xr:uid="{4C070A9A-7A1B-477A-8E5F-DEC64069C1AB}">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605C5D30-937A-4379-A0DF-48348E11A008}">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464426C4-5E54-4859-B007-8276291DA48C}">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72218499-7968-4945-BEC3-FA8111068A83}">
      <text>
        <r>
          <rPr>
            <sz val="9"/>
            <color indexed="81"/>
            <rFont val="Segoe UI"/>
            <family val="2"/>
          </rPr>
          <t>Diese Zeile kann in das Konfigurationsarray des Programms kopiert werden.</t>
        </r>
      </text>
    </comment>
    <comment ref="B41" authorId="1" shapeId="0" xr:uid="{03AFB440-76E3-476B-9F2C-9ACF4366823A}">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16DFF85D-7091-4FB7-BBE7-7097540E2F09}">
      <text>
        <r>
          <rPr>
            <sz val="9"/>
            <color indexed="81"/>
            <rFont val="Segoe UI"/>
            <family val="2"/>
          </rPr>
          <t>Startkanal innerhalb der ersten RGB LED (0..2)</t>
        </r>
      </text>
    </comment>
    <comment ref="D4" authorId="0" shapeId="0" xr:uid="{20481282-9281-4F2D-88A4-3CADD2285542}">
      <text>
        <r>
          <rPr>
            <sz val="9"/>
            <color indexed="81"/>
            <rFont val="Segoe UI"/>
            <family val="2"/>
          </rPr>
          <t>Nummer des Eingangskanals (0..253).
Sypmolische Namen sind auch möglich.
z.B: SI_1 = immer an</t>
        </r>
      </text>
    </comment>
    <comment ref="D5" authorId="0" shapeId="0" xr:uid="{29F99ADF-841A-4B13-BC44-4C73A2A79DBE}">
      <text>
        <r>
          <rPr>
            <sz val="9"/>
            <color indexed="81"/>
            <rFont val="Segoe UI"/>
            <family val="2"/>
          </rPr>
          <t>Bestimmt die Anzahl der Ausgabekanäle. Der Wert beschreibt die Nummer der einzelnen LEDs (Eine RGB LED besteht aus 3 einzelnen LEDs). 
Wertebereich 1..100</t>
        </r>
      </text>
    </comment>
    <comment ref="D6" authorId="0" shapeId="0" xr:uid="{E34A775D-ADD7-4657-A317-723392789730}">
      <text>
        <r>
          <rPr>
            <sz val="9"/>
            <color indexed="81"/>
            <rFont val="Segoe UI"/>
            <family val="2"/>
          </rPr>
          <t>Anzahl der Bits welche für einen Helligkeitswert benutzt werden (1..8)</t>
        </r>
      </text>
    </comment>
    <comment ref="D7" authorId="0" shapeId="0" xr:uid="{EA9E0D4D-B5B5-448F-B847-29D5C04F7789}">
      <text>
        <r>
          <rPr>
            <sz val="9"/>
            <color indexed="81"/>
            <rFont val="Segoe UI"/>
            <family val="2"/>
          </rPr>
          <t>Dieser Wert wird verwendet wenn in der Tabelle unten nichts oder 0 steht.
Wert Min muss zwischen 0 und 255 liegen.</t>
        </r>
      </text>
    </comment>
    <comment ref="D8" authorId="0" shapeId="0" xr:uid="{17C9F201-4BBD-4F03-9F0B-3C2DBEE034A2}">
      <text>
        <r>
          <rPr>
            <sz val="9"/>
            <color indexed="81"/>
            <rFont val="Segoe UI"/>
            <family val="2"/>
          </rPr>
          <t>Dieser Wert wird verwendet wenn in der Tabelle unten ein "x" oder die maximale Helligkeitsstufe steht. 
Wertebereich (0..255)</t>
        </r>
      </text>
    </comment>
    <comment ref="D9" authorId="0" shapeId="0" xr:uid="{0DD3D4EF-47C2-40A9-B6E8-B67A4A483FC6}">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E9B5025-718B-4D1F-BDF2-E2A32ED8907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49E680A3-C3DE-407B-A1C0-93B748E581F4}">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2AE845C3-61E3-43B4-911B-7AD5BBCA64F2}">
      <text>
        <r>
          <rPr>
            <sz val="9"/>
            <color indexed="81"/>
            <rFont val="Segoe UI"/>
            <family val="2"/>
          </rPr>
          <t>Diese Zeile kann in das Konfigurationsarray des Programms kopiert werden.</t>
        </r>
      </text>
    </comment>
    <comment ref="B41" authorId="1" shapeId="0" xr:uid="{BE510ABC-E771-4DB5-9D8D-1D62C61A8380}">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6CD68A72-F5EE-4D8F-B3D1-58F9162DC5B5}">
      <text>
        <r>
          <rPr>
            <sz val="9"/>
            <color indexed="81"/>
            <rFont val="Segoe UI"/>
            <family val="2"/>
          </rPr>
          <t>Startkanal innerhalb der ersten RGB LED (0..2)</t>
        </r>
      </text>
    </comment>
    <comment ref="D4" authorId="0" shapeId="0" xr:uid="{B86518D4-53EA-4206-AE83-2A62F89F45B1}">
      <text>
        <r>
          <rPr>
            <sz val="9"/>
            <color indexed="81"/>
            <rFont val="Segoe UI"/>
            <family val="2"/>
          </rPr>
          <t>Nummer des Eingangskanals (0..253).
Sypmolische Namen sind auch möglich.
z.B: SI_1 = immer an</t>
        </r>
      </text>
    </comment>
    <comment ref="D5" authorId="0" shapeId="0" xr:uid="{B0AF2F99-E42C-4EA8-B00F-74B322B50927}">
      <text>
        <r>
          <rPr>
            <sz val="9"/>
            <color indexed="81"/>
            <rFont val="Segoe UI"/>
            <family val="2"/>
          </rPr>
          <t>Bestimmt die Anzahl der Ausgabekanäle. Der Wert beschreibt die Nummer der einzelnen LEDs (Eine RGB LED besteht aus 3 einzelnen LEDs). 
Wertebereich 1..100</t>
        </r>
      </text>
    </comment>
    <comment ref="D6" authorId="0" shapeId="0" xr:uid="{BC081453-58B1-49C1-9975-30BD19658DF2}">
      <text>
        <r>
          <rPr>
            <sz val="9"/>
            <color indexed="81"/>
            <rFont val="Segoe UI"/>
            <family val="2"/>
          </rPr>
          <t>Anzahl der Bits welche für einen Helligkeitswert benutzt werden (1..8)</t>
        </r>
      </text>
    </comment>
    <comment ref="D7" authorId="0" shapeId="0" xr:uid="{78DCEB90-A9F5-4184-A3C7-93F7B4212DF6}">
      <text>
        <r>
          <rPr>
            <sz val="9"/>
            <color indexed="81"/>
            <rFont val="Segoe UI"/>
            <family val="2"/>
          </rPr>
          <t>Dieser Wert wird verwendet wenn in der Tabelle unten nichts oder 0 steht.
Wert Min muss zwischen 0 und 255 liegen.</t>
        </r>
      </text>
    </comment>
    <comment ref="D8" authorId="0" shapeId="0" xr:uid="{AF290A6E-6CAA-4A22-A346-D1A313F2D606}">
      <text>
        <r>
          <rPr>
            <sz val="9"/>
            <color indexed="81"/>
            <rFont val="Segoe UI"/>
            <family val="2"/>
          </rPr>
          <t>Dieser Wert wird verwendet wenn in der Tabelle unten ein "x" oder die maximale Helligkeitsstufe steht. 
Wertebereich (0..255)</t>
        </r>
      </text>
    </comment>
    <comment ref="D9" authorId="0" shapeId="0" xr:uid="{EC186232-EF43-41E2-861D-49A1BFF5E3F6}">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938755DA-206B-4E20-B853-AA57E5DFD5AE}">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844C6231-0EC8-44F7-9A47-5B9FC890A868}">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5E5781CD-36D0-440B-AED2-7E171AB5AF0D}">
      <text>
        <r>
          <rPr>
            <sz val="9"/>
            <color indexed="81"/>
            <rFont val="Segoe UI"/>
            <family val="2"/>
          </rPr>
          <t>Diese Zeile kann in das Konfigurationsarray des Programms kopiert werden.</t>
        </r>
      </text>
    </comment>
    <comment ref="B41" authorId="1" shapeId="0" xr:uid="{4E475799-2CF8-40CC-8D78-C767538C1E86}">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D00-000001000000}">
      <text>
        <r>
          <rPr>
            <sz val="9"/>
            <color indexed="81"/>
            <rFont val="Segoe UI"/>
            <family val="2"/>
          </rPr>
          <t>Startkanal innerhalb der ersten RGB LED (0..2)</t>
        </r>
      </text>
    </comment>
    <comment ref="D4" authorId="0" shapeId="0" xr:uid="{00000000-0006-0000-0D00-000002000000}">
      <text>
        <r>
          <rPr>
            <sz val="9"/>
            <color indexed="81"/>
            <rFont val="Segoe UI"/>
            <family val="2"/>
          </rPr>
          <t>Nummer des Eingangskanals (0..253).
Sypmolische Namen sind auch möglich.
z.B: SI_1 = immer an</t>
        </r>
      </text>
    </comment>
    <comment ref="D5" authorId="0" shapeId="0" xr:uid="{00000000-0006-0000-0D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D00-000004000000}">
      <text>
        <r>
          <rPr>
            <sz val="9"/>
            <color indexed="81"/>
            <rFont val="Segoe UI"/>
            <family val="2"/>
          </rPr>
          <t>Anzahl der Bits welche für einen Helligkeitswert benutzt werden (1..8)</t>
        </r>
      </text>
    </comment>
    <comment ref="D7" authorId="0" shapeId="0" xr:uid="{00000000-0006-0000-0D00-000005000000}">
      <text>
        <r>
          <rPr>
            <sz val="9"/>
            <color indexed="81"/>
            <rFont val="Segoe UI"/>
            <family val="2"/>
          </rPr>
          <t>Dieser Wert wird verwendet wenn in der Tabelle unten nichts oder 0 steht.
Wert Min muss zwischen 0 und 255 liegen.</t>
        </r>
      </text>
    </comment>
    <comment ref="D8" authorId="0" shapeId="0" xr:uid="{00000000-0006-0000-0D00-000006000000}">
      <text>
        <r>
          <rPr>
            <sz val="9"/>
            <color indexed="81"/>
            <rFont val="Segoe UI"/>
            <family val="2"/>
          </rPr>
          <t>Dieser Wert wird verwendet wenn in der Tabelle unten ein "x" oder die maximale Helligkeitsstufe steht. 
Wertebereich (0..255)</t>
        </r>
      </text>
    </comment>
    <comment ref="D9" authorId="0" shapeId="0" xr:uid="{00000000-0006-0000-0D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D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D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D00-00000A000000}">
      <text>
        <r>
          <rPr>
            <sz val="9"/>
            <color indexed="81"/>
            <rFont val="Segoe UI"/>
            <family val="2"/>
          </rPr>
          <t>Diese Zeile kann in das Konfigurationsarray des Programms kopiert werden.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E00-000001000000}">
      <text>
        <r>
          <rPr>
            <sz val="9"/>
            <color indexed="81"/>
            <rFont val="Segoe UI"/>
            <family val="2"/>
          </rPr>
          <t>Startkanal innerhalb der ersten RGB LED (0..2)</t>
        </r>
      </text>
    </comment>
    <comment ref="D4" authorId="0" shapeId="0" xr:uid="{00000000-0006-0000-0E00-000002000000}">
      <text>
        <r>
          <rPr>
            <sz val="9"/>
            <color indexed="81"/>
            <rFont val="Segoe UI"/>
            <family val="2"/>
          </rPr>
          <t>Nummer des Eingangskanals (0..253).
Sypmolische Namen sind auch möglich.
z.B: SI_1 = immer an</t>
        </r>
      </text>
    </comment>
    <comment ref="D5" authorId="0" shapeId="0" xr:uid="{00000000-0006-0000-0E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E00-000004000000}">
      <text>
        <r>
          <rPr>
            <sz val="9"/>
            <color indexed="81"/>
            <rFont val="Segoe UI"/>
            <family val="2"/>
          </rPr>
          <t>Anzahl der Bits welche für einen Helligkeitswert benutzt werden (1..8)</t>
        </r>
      </text>
    </comment>
    <comment ref="D7" authorId="0" shapeId="0" xr:uid="{00000000-0006-0000-0E00-000005000000}">
      <text>
        <r>
          <rPr>
            <sz val="9"/>
            <color indexed="81"/>
            <rFont val="Segoe UI"/>
            <family val="2"/>
          </rPr>
          <t>Dieser Wert wird verwendet wenn in der Tabelle unten nichts oder 0 steht.
Wert Min muss zwischen 0 und 255 liegen.</t>
        </r>
      </text>
    </comment>
    <comment ref="D8" authorId="0" shapeId="0" xr:uid="{00000000-0006-0000-0E00-000006000000}">
      <text>
        <r>
          <rPr>
            <sz val="9"/>
            <color indexed="81"/>
            <rFont val="Segoe UI"/>
            <family val="2"/>
          </rPr>
          <t>Dieser Wert wird verwendet wenn in der Tabelle unten ein "x" oder die maximale Helligkeitsstufe steht. 
Wertebereich (0..255)</t>
        </r>
      </text>
    </comment>
    <comment ref="D9" authorId="0" shapeId="0" xr:uid="{00000000-0006-0000-0E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E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E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E00-00000A000000}">
      <text>
        <r>
          <rPr>
            <sz val="9"/>
            <color indexed="81"/>
            <rFont val="Segoe UI"/>
            <family val="2"/>
          </rPr>
          <t>Diese Zeile kann in das Konfigurationsarray des Programms kopiert werden.</t>
        </r>
      </text>
    </comment>
  </commentList>
</comments>
</file>

<file path=xl/sharedStrings.xml><?xml version="1.0" encoding="utf-8"?>
<sst xmlns="http://schemas.openxmlformats.org/spreadsheetml/2006/main" count="1416" uniqueCount="174">
  <si>
    <t>x</t>
  </si>
  <si>
    <t>Rot 1</t>
  </si>
  <si>
    <t>Gelb 1</t>
  </si>
  <si>
    <t>Grün 1</t>
  </si>
  <si>
    <t>Rot 2</t>
  </si>
  <si>
    <t>Gelb 2</t>
  </si>
  <si>
    <t>Grün 2</t>
  </si>
  <si>
    <t>Dauer</t>
  </si>
  <si>
    <t>LED Nr</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</si>
  <si>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</si>
  <si>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</si>
  <si>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</si>
  <si>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</si>
  <si>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</si>
  <si>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</si>
  <si>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</si>
  <si>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</si>
  <si>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</si>
  <si>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</si>
  <si>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</si>
  <si>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</si>
  <si>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</si>
  <si>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FLASH usage: </t>
  </si>
  <si>
    <t>10 Sec</t>
  </si>
  <si>
    <t>2 Sec</t>
  </si>
  <si>
    <t>1 Sec</t>
  </si>
  <si>
    <t>3 Sec</t>
  </si>
  <si>
    <t>500 ms</t>
  </si>
  <si>
    <t xml:space="preserve">Mode: </t>
  </si>
  <si>
    <t>Analoges Überblenden</t>
  </si>
  <si>
    <t>Bits pro Wert</t>
  </si>
  <si>
    <t>Analog:</t>
  </si>
  <si>
    <t xml:space="preserve">Wert Max: </t>
  </si>
  <si>
    <t xml:space="preserve">Wert Min: </t>
  </si>
  <si>
    <t>Ende:</t>
  </si>
  <si>
    <t>Pattern Bytes:</t>
  </si>
  <si>
    <t>FreeBits:</t>
  </si>
  <si>
    <t>Pattern u FreeBits:</t>
  </si>
  <si>
    <t>StCh FreeBits BpC:</t>
  </si>
  <si>
    <t>FreeBits BpC:</t>
  </si>
  <si>
    <t>Internal Macro:</t>
  </si>
  <si>
    <t>SI_1</t>
  </si>
  <si>
    <t>Status Nr  -&gt;</t>
  </si>
  <si>
    <t>Wechselblinker</t>
  </si>
  <si>
    <t>LED 0 Rot</t>
  </si>
  <si>
    <t>LED 0 Grün</t>
  </si>
  <si>
    <t xml:space="preserve">Wenn gleiche Zeiten verwendet werden, dann sollten nur die ersten Zeiten eingetragen werden. Bei leeren Spalten werden die vorangegangenen Zeiten wiederholt. Das reduziert die Anzahl der Timing Parameter. </t>
  </si>
  <si>
    <t>RGB_AmpelX</t>
  </si>
  <si>
    <t>X</t>
  </si>
  <si>
    <t>HP0</t>
  </si>
  <si>
    <t>HP1</t>
  </si>
  <si>
    <t>HP2</t>
  </si>
  <si>
    <t>PF_NO_SWITCH_OFF</t>
  </si>
  <si>
    <t>Blau 1</t>
  </si>
  <si>
    <t>Blau 2</t>
  </si>
  <si>
    <t>Blau 3</t>
  </si>
  <si>
    <t>Grün 3</t>
  </si>
  <si>
    <t>Rot 3</t>
  </si>
  <si>
    <t>PF_INVERT_INP | PF_NO_SWITCH_OFF</t>
  </si>
  <si>
    <t>.</t>
  </si>
  <si>
    <t>RGB_AmpelX_Fade</t>
  </si>
  <si>
    <t>RGB_AmpelX_Fade_Off</t>
  </si>
  <si>
    <t>RGB_AmpelX_Off</t>
  </si>
  <si>
    <t>200 ms</t>
  </si>
  <si>
    <t>100 ms</t>
  </si>
  <si>
    <t>300 ms</t>
  </si>
  <si>
    <t>Hue</t>
  </si>
  <si>
    <t>Heartbeat_Hue</t>
  </si>
  <si>
    <t>PM_HSV</t>
  </si>
  <si>
    <t>Heartbeat_Val</t>
  </si>
  <si>
    <t>60 Sek</t>
  </si>
  <si>
    <t>0 ms</t>
  </si>
  <si>
    <t>1 Sek</t>
  </si>
  <si>
    <t>PM_HSV|PF_EASEINOUT</t>
  </si>
  <si>
    <t>LED 0</t>
  </si>
  <si>
    <t>LED 1</t>
  </si>
  <si>
    <t>LED 2</t>
  </si>
  <si>
    <t>LED 3</t>
  </si>
  <si>
    <t>LED 4</t>
  </si>
  <si>
    <t>LED 5</t>
  </si>
  <si>
    <t>LED 6</t>
  </si>
  <si>
    <t>LED 7</t>
  </si>
  <si>
    <t>LED 8</t>
  </si>
  <si>
    <t>50 ms</t>
  </si>
  <si>
    <t>ConstrWarnLight</t>
  </si>
  <si>
    <t>LED 0 G</t>
  </si>
  <si>
    <t>LED 0 B</t>
  </si>
  <si>
    <t>LED 0 R</t>
  </si>
  <si>
    <t>LED 1 R</t>
  </si>
  <si>
    <t>LED 1 G</t>
  </si>
  <si>
    <t>LED 1 B</t>
  </si>
  <si>
    <t>LED 2 R</t>
  </si>
  <si>
    <t>LED 2 G</t>
  </si>
  <si>
    <t>LED 2 B</t>
  </si>
  <si>
    <t>LED 3 R</t>
  </si>
  <si>
    <t>LED 3 G</t>
  </si>
  <si>
    <t>LED 3 B</t>
  </si>
  <si>
    <t>LED 4 R</t>
  </si>
  <si>
    <t>LED 4 G</t>
  </si>
  <si>
    <t>LED 4 B</t>
  </si>
  <si>
    <t>LED 5 R</t>
  </si>
  <si>
    <t>LED 5 G</t>
  </si>
  <si>
    <t>LED 5 B</t>
  </si>
  <si>
    <t>LED 6 R</t>
  </si>
  <si>
    <t>LED 6 G</t>
  </si>
  <si>
    <t>LED 6 B</t>
  </si>
  <si>
    <t>LED 7 R</t>
  </si>
  <si>
    <t>LED 7 G</t>
  </si>
  <si>
    <t>LED 7 B</t>
  </si>
  <si>
    <t>LED 8 R</t>
  </si>
  <si>
    <t>LED 8 G</t>
  </si>
  <si>
    <t>LED 8 B</t>
  </si>
  <si>
    <t>RGB_ConstrWarnLight</t>
  </si>
  <si>
    <t>Ver.: 0.6  24.10.18</t>
  </si>
  <si>
    <t>5 Sek</t>
  </si>
  <si>
    <t>2 Sek</t>
  </si>
  <si>
    <t>10 Sek</t>
  </si>
  <si>
    <t>Pulsating_Val</t>
  </si>
  <si>
    <t>Changing_Hue</t>
  </si>
  <si>
    <t>Goto Mode:</t>
  </si>
  <si>
    <t>Analoges Überblenden:</t>
  </si>
  <si>
    <t>Goto tabelle</t>
  </si>
  <si>
    <t>Spalte Nr  -&gt;</t>
  </si>
  <si>
    <t>S</t>
  </si>
  <si>
    <t>LED 0 Blau</t>
  </si>
  <si>
    <t>LED 1 Rot</t>
  </si>
  <si>
    <t>LED 1 Grün</t>
  </si>
  <si>
    <t>LED 1 Blau</t>
  </si>
  <si>
    <t>E</t>
  </si>
  <si>
    <t>Goto Bytes:</t>
  </si>
  <si>
    <t>P</t>
  </si>
  <si>
    <t>InputCh:</t>
  </si>
  <si>
    <t>InNrStr:</t>
  </si>
  <si>
    <t>InNrStr2</t>
  </si>
  <si>
    <t>LED 2 Rot</t>
  </si>
  <si>
    <t>LED 2 Grün</t>
  </si>
  <si>
    <t>LED 2 Blau</t>
  </si>
  <si>
    <t>LED 3 Rot</t>
  </si>
  <si>
    <t>LED 3 Grün</t>
  </si>
  <si>
    <t>LED 3 Blau</t>
  </si>
  <si>
    <t>S P</t>
  </si>
  <si>
    <t>G 1</t>
  </si>
  <si>
    <t>G2</t>
  </si>
  <si>
    <t>Stop am ende</t>
  </si>
  <si>
    <t>Neutart</t>
  </si>
  <si>
    <t>Stop am Ende</t>
  </si>
  <si>
    <t>Start mit 0</t>
  </si>
  <si>
    <t>5 Sec</t>
  </si>
  <si>
    <t>G 3</t>
  </si>
  <si>
    <t>P E</t>
  </si>
  <si>
    <t>LEDs Aus, End</t>
  </si>
  <si>
    <t xml:space="preserve">S </t>
  </si>
  <si>
    <t>S G 1</t>
  </si>
  <si>
    <t>LocalVar_Sound</t>
  </si>
  <si>
    <t>ADKey 1</t>
  </si>
  <si>
    <t>ADKey 2</t>
  </si>
  <si>
    <t>SE</t>
  </si>
  <si>
    <t>Goto Tabelle</t>
  </si>
  <si>
    <t>Val</t>
  </si>
  <si>
    <t>HP0 + SH1</t>
  </si>
  <si>
    <t>Grün 4</t>
  </si>
  <si>
    <t>Blau 5</t>
  </si>
  <si>
    <t>Rot 4</t>
  </si>
  <si>
    <t>Blau 4</t>
  </si>
  <si>
    <t>Rot 5</t>
  </si>
  <si>
    <t>Grün 5</t>
  </si>
  <si>
    <t>_Entry_Signal3_RGB</t>
  </si>
  <si>
    <t>_Entry_Signal3</t>
  </si>
  <si>
    <t>_Dep_Signal4_RGB</t>
  </si>
  <si>
    <t>Rot 6</t>
  </si>
  <si>
    <t>Grün 6</t>
  </si>
  <si>
    <t>Blau 6</t>
  </si>
  <si>
    <t>Weis 2</t>
  </si>
  <si>
    <t>_Dep_Signal4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</si>
</sst>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quot; 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11"/>
      <color rgb="FF00B050"/>
      <name val="Calibri"/>
      <family val="2"/>
      <scheme val="minor"/>
    </font>
    <font>
      <sz val="11"/>
      <color rgb="FF0000FF"/>
      <name val="Calibri"/>
      <family val="2"/>
      <scheme val="minor"/>
    </font>
    <font>
      <sz val="9"/>
      <color indexed="81"/>
      <name val="Segoe UI"/>
      <family val="2"/>
    </font>
    <font>
      <b/>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11"/>
      <color theme="2"/>
      <name val="Calibri"/>
      <family val="2"/>
      <scheme val="minor"/>
    </font>
    <font>
      <b/>
      <sz val="11"/>
      <color rgb="FFFFFF00"/>
      <name val="Calibri"/>
      <family val="2"/>
      <scheme val="minor"/>
    </font>
    <font>
      <sz val="11"/>
      <color rgb="FF002060"/>
      <name val="Calibri"/>
      <family val="2"/>
      <scheme val="minor"/>
    </font>
    <font>
      <sz val="8"/>
      <color indexed="81"/>
      <name val="Segoe UI"/>
      <family val="2"/>
    </font>
    <font>
      <b/>
      <sz val="11"/>
      <color theme="0" tint="-0.249977111117893"/>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rgb="FF0000FF"/>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00">
    <xf numFmtId="0" fontId="0" fillId="0" borderId="0" xfId="0"/>
    <xf numFmtId="0" fontId="0" fillId="0" borderId="0" xfId="0" applyAlignment="1">
      <alignment horizontal="right"/>
    </xf>
    <xf numFmtId="0" fontId="3" fillId="0" borderId="0" xfId="0" applyFont="1"/>
    <xf numFmtId="0" fontId="0" fillId="0" borderId="0" xfId="0" applyBorder="1"/>
    <xf numFmtId="0" fontId="4" fillId="0" borderId="0" xfId="0" applyFont="1"/>
    <xf numFmtId="0" fontId="1" fillId="0" borderId="0" xfId="0" applyFont="1"/>
    <xf numFmtId="0" fontId="0" fillId="0" borderId="1" xfId="0" applyFill="1" applyBorder="1"/>
    <xf numFmtId="0" fontId="0" fillId="0" borderId="2" xfId="0" applyBorder="1"/>
    <xf numFmtId="0" fontId="3" fillId="0" borderId="0" xfId="0" applyFont="1" applyBorder="1"/>
    <xf numFmtId="0" fontId="0" fillId="4" borderId="2" xfId="0" applyFill="1" applyBorder="1" applyAlignment="1">
      <alignment horizontal="right"/>
    </xf>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0" fillId="0" borderId="0" xfId="0" applyAlignment="1"/>
    <xf numFmtId="0" fontId="6" fillId="0" borderId="0" xfId="0" applyFont="1" applyFill="1" applyBorder="1"/>
    <xf numFmtId="164" fontId="4" fillId="0" borderId="0" xfId="0" applyNumberFormat="1" applyFont="1" applyAlignment="1" applyProtection="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center"/>
      <protection locked="0"/>
    </xf>
    <xf numFmtId="0" fontId="0" fillId="0" borderId="0" xfId="0" applyBorder="1" applyProtection="1">
      <protection locked="0"/>
    </xf>
    <xf numFmtId="0" fontId="0" fillId="5" borderId="0" xfId="0" applyFill="1" applyBorder="1" applyAlignment="1" applyProtection="1">
      <alignment horizontal="left" indent="1"/>
      <protection locked="0"/>
    </xf>
    <xf numFmtId="0" fontId="0" fillId="2" borderId="0" xfId="0" applyFill="1" applyBorder="1" applyAlignment="1" applyProtection="1">
      <alignment horizontal="left" indent="1"/>
      <protection locked="0"/>
    </xf>
    <xf numFmtId="0" fontId="0" fillId="6" borderId="0" xfId="0" applyFill="1" applyBorder="1" applyAlignment="1" applyProtection="1">
      <alignment horizontal="left" indent="1"/>
      <protection locked="0"/>
    </xf>
    <xf numFmtId="0" fontId="7" fillId="0" borderId="0" xfId="0" applyFont="1"/>
    <xf numFmtId="0" fontId="1" fillId="0" borderId="0" xfId="0" applyFont="1" applyBorder="1" applyAlignment="1" applyProtection="1">
      <alignment horizontal="center"/>
      <protection locked="0"/>
    </xf>
    <xf numFmtId="0" fontId="8" fillId="0" borderId="0" xfId="0" applyFont="1" applyBorder="1" applyAlignment="1" applyProtection="1">
      <alignment horizontal="center"/>
      <protection locked="0"/>
    </xf>
    <xf numFmtId="0" fontId="9" fillId="0" borderId="0" xfId="0" applyFont="1" applyBorder="1" applyAlignment="1" applyProtection="1">
      <alignment horizontal="center"/>
      <protection locked="0"/>
    </xf>
    <xf numFmtId="0" fontId="9" fillId="0" borderId="0" xfId="0" quotePrefix="1" applyFont="1" applyBorder="1" applyAlignment="1" applyProtection="1">
      <alignment horizontal="center"/>
      <protection locked="0"/>
    </xf>
    <xf numFmtId="0" fontId="3" fillId="0" borderId="0" xfId="0" applyFont="1" applyBorder="1" applyAlignment="1">
      <alignment horizontal="right"/>
    </xf>
    <xf numFmtId="0" fontId="12" fillId="0" borderId="0" xfId="0" applyFont="1"/>
    <xf numFmtId="0" fontId="13" fillId="0" borderId="0" xfId="0" applyFont="1"/>
    <xf numFmtId="0" fontId="1" fillId="0" borderId="0" xfId="0" applyFont="1" applyBorder="1" applyAlignment="1" applyProtection="1">
      <alignment horizontal="center" textRotation="90"/>
      <protection locked="0"/>
    </xf>
    <xf numFmtId="0" fontId="0" fillId="0" borderId="0" xfId="0" applyAlignment="1"/>
    <xf numFmtId="0" fontId="14" fillId="0" borderId="0" xfId="0" applyFont="1" applyBorder="1" applyAlignment="1" applyProtection="1">
      <alignment horizontal="center"/>
      <protection locked="0"/>
    </xf>
    <xf numFmtId="0" fontId="0" fillId="0" borderId="0" xfId="0" applyAlignment="1"/>
    <xf numFmtId="0" fontId="1" fillId="0" borderId="0" xfId="0" applyFont="1" applyFill="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0" xfId="0" applyFill="1" applyBorder="1" applyAlignment="1" applyProtection="1">
      <alignment horizontal="left" indent="1"/>
      <protection locked="0"/>
    </xf>
    <xf numFmtId="0" fontId="8" fillId="0" borderId="0" xfId="0" applyFont="1" applyFill="1" applyBorder="1" applyAlignment="1" applyProtection="1">
      <alignment horizontal="center"/>
      <protection locked="0"/>
    </xf>
    <xf numFmtId="0" fontId="9" fillId="0" borderId="0" xfId="0" quotePrefix="1" applyFont="1" applyFill="1" applyBorder="1" applyAlignment="1" applyProtection="1">
      <alignment horizontal="center"/>
      <protection locked="0"/>
    </xf>
    <xf numFmtId="0" fontId="9" fillId="0" borderId="0" xfId="0" applyFont="1"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0" borderId="0" xfId="0" applyAlignment="1"/>
    <xf numFmtId="0" fontId="15" fillId="7" borderId="0" xfId="0" applyFont="1" applyFill="1" applyBorder="1" applyAlignment="1" applyProtection="1">
      <alignment horizontal="left" indent="1"/>
      <protection locked="0"/>
    </xf>
    <xf numFmtId="0" fontId="15" fillId="0" borderId="0" xfId="0" applyFont="1" applyFill="1" applyBorder="1" applyAlignment="1" applyProtection="1">
      <alignment horizontal="left" indent="1"/>
      <protection locked="0"/>
    </xf>
    <xf numFmtId="0" fontId="9" fillId="2" borderId="0" xfId="0" applyFont="1" applyFill="1" applyBorder="1" applyAlignment="1" applyProtection="1">
      <alignment horizontal="left" indent="1"/>
      <protection locked="0"/>
    </xf>
    <xf numFmtId="0" fontId="16" fillId="7" borderId="0" xfId="0" applyFont="1" applyFill="1" applyBorder="1" applyAlignment="1" applyProtection="1">
      <alignment horizontal="left" indent="1"/>
      <protection locked="0"/>
    </xf>
    <xf numFmtId="0" fontId="17" fillId="0" borderId="0" xfId="0" applyFont="1" applyBorder="1" applyAlignment="1" applyProtection="1">
      <alignment horizontal="center"/>
      <protection locked="0"/>
    </xf>
    <xf numFmtId="0" fontId="14" fillId="0" borderId="0" xfId="0" applyFont="1" applyBorder="1" applyProtection="1">
      <protection locked="0"/>
    </xf>
    <xf numFmtId="0" fontId="14" fillId="0" borderId="0" xfId="0" applyFont="1" applyProtection="1">
      <protection locked="0"/>
    </xf>
    <xf numFmtId="0" fontId="14" fillId="0" borderId="0" xfId="0" quotePrefix="1" applyFont="1" applyBorder="1" applyAlignment="1" applyProtection="1">
      <alignment horizontal="center"/>
      <protection locked="0"/>
    </xf>
    <xf numFmtId="0" fontId="14" fillId="0" borderId="0" xfId="0" applyFont="1"/>
    <xf numFmtId="0" fontId="0" fillId="0" borderId="0" xfId="0" applyAlignment="1">
      <alignment horizontal="right" vertical="top"/>
    </xf>
    <xf numFmtId="0" fontId="0" fillId="0" borderId="0" xfId="0" quotePrefix="1"/>
    <xf numFmtId="0" fontId="14" fillId="0" borderId="0" xfId="0" applyFont="1" applyBorder="1" applyAlignment="1" applyProtection="1">
      <alignment horizontal="center"/>
      <protection locked="0"/>
    </xf>
    <xf numFmtId="0" fontId="0" fillId="0" borderId="0" xfId="0" applyAlignment="1"/>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0" fontId="0" fillId="0" borderId="0" xfId="0" applyFont="1"/>
    <xf numFmtId="164" fontId="14" fillId="0" borderId="1" xfId="0" applyNumberFormat="1" applyFont="1" applyBorder="1" applyAlignment="1" applyProtection="1">
      <alignment horizontal="center"/>
    </xf>
    <xf numFmtId="0" fontId="14" fillId="0" borderId="1" xfId="0" applyFont="1" applyBorder="1" applyAlignment="1" applyProtection="1">
      <alignment horizontal="center"/>
    </xf>
    <xf numFmtId="0" fontId="14" fillId="0" borderId="0" xfId="0" applyFont="1" applyBorder="1" applyAlignment="1" applyProtection="1">
      <alignment horizontal="center"/>
      <protection locked="0"/>
    </xf>
    <xf numFmtId="0" fontId="0" fillId="0" borderId="0" xfId="0" applyAlignment="1"/>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0" fontId="0" fillId="0" borderId="0" xfId="0" applyAlignment="1"/>
    <xf numFmtId="0" fontId="14" fillId="0" borderId="0" xfId="0" applyFont="1" applyBorder="1" applyAlignment="1" applyProtection="1">
      <alignment horizontal="center"/>
      <protection locked="0"/>
    </xf>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0" fontId="19" fillId="0" borderId="0" xfId="0" applyFont="1"/>
    <xf numFmtId="0" fontId="14" fillId="9" borderId="0" xfId="0" applyFont="1" applyFill="1" applyBorder="1" applyAlignment="1" applyProtection="1">
      <alignment horizontal="center"/>
      <protection locked="0"/>
    </xf>
    <xf numFmtId="0" fontId="14" fillId="10" borderId="0" xfId="0" applyFont="1" applyFill="1" applyBorder="1" applyAlignment="1" applyProtection="1">
      <alignment horizontal="center"/>
      <protection locked="0"/>
    </xf>
    <xf numFmtId="0" fontId="14" fillId="0" borderId="0" xfId="0" applyFont="1" applyFill="1" applyBorder="1" applyAlignment="1" applyProtection="1">
      <alignment horizontal="center"/>
      <protection locked="0"/>
    </xf>
    <xf numFmtId="0" fontId="0" fillId="0" borderId="0" xfId="0" applyAlignment="1"/>
    <xf numFmtId="0" fontId="14" fillId="0" borderId="0" xfId="0" applyFont="1" applyBorder="1" applyAlignment="1" applyProtection="1">
      <alignment horizontal="center"/>
      <protection locked="0"/>
    </xf>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horizontal="center" vertical="center" wrapText="1"/>
      <protection locked="0"/>
    </xf>
    <xf numFmtId="0" fontId="0" fillId="11" borderId="1" xfId="0" applyFill="1" applyBorder="1" applyAlignment="1" applyProtection="1">
      <alignment horizontal="left" indent="1"/>
      <protection locked="0"/>
    </xf>
    <xf numFmtId="0" fontId="0" fillId="8" borderId="1" xfId="0" applyFill="1" applyBorder="1" applyAlignment="1">
      <alignment horizontal="center"/>
    </xf>
    <xf numFmtId="0" fontId="0" fillId="8" borderId="1" xfId="0" applyFill="1" applyBorder="1" applyAlignment="1"/>
    <xf numFmtId="0" fontId="14" fillId="0" borderId="0" xfId="0" applyFont="1" applyBorder="1" applyAlignment="1" applyProtection="1">
      <alignment horizontal="center"/>
      <protection locked="0"/>
    </xf>
    <xf numFmtId="0" fontId="0" fillId="0" borderId="0" xfId="0" applyAlignment="1">
      <alignment horizontal="center"/>
    </xf>
    <xf numFmtId="0" fontId="0" fillId="2" borderId="0" xfId="0" applyFill="1" applyAlignment="1" applyProtection="1">
      <alignment horizontal="left"/>
      <protection locked="0"/>
    </xf>
    <xf numFmtId="0" fontId="0" fillId="0" borderId="0" xfId="0" applyAlignment="1"/>
    <xf numFmtId="0" fontId="0" fillId="0" borderId="0" xfId="0" applyBorder="1" applyAlignment="1" applyProtection="1">
      <alignment horizontal="center"/>
      <protection locked="0"/>
    </xf>
    <xf numFmtId="164" fontId="4" fillId="0" borderId="0" xfId="0" applyNumberFormat="1" applyFont="1" applyAlignment="1" applyProtection="1">
      <alignment horizontal="left"/>
    </xf>
  </cellXfs>
  <cellStyles count="1">
    <cellStyle name="Standard" xfId="0" builtinId="0"/>
  </cellStyles>
  <dxfs count="460">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s>
  <tableStyles count="0" defaultTableStyle="TableStyleMedium2" defaultPivotStyle="PivotStyleLight16"/>
  <colors>
    <mruColors>
      <color rgb="FF0000FF"/>
      <color rgb="FF00B400"/>
      <color rgb="FFCC00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7.jpg"/><Relationship Id="rId1" Type="http://schemas.openxmlformats.org/officeDocument/2006/relationships/image" Target="../media/image6.jpg"/></Relationships>
</file>

<file path=xl/drawings/_rels/drawing18.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7.jpg"/><Relationship Id="rId1" Type="http://schemas.openxmlformats.org/officeDocument/2006/relationships/image" Target="../media/image6.jpg"/></Relationships>
</file>

<file path=xl/drawings/drawing1.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4191E440-0B75-473E-96E7-2523E6B20C19}"/>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AA4A5FF1-921C-4293-B8B9-6034DE308CAC}"/>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681609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5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6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986826"/>
    <xdr:sp macro="" textlink="">
      <xdr:nvSpPr>
        <xdr:cNvPr id="2" name="Textfeld 1">
          <a:extLst>
            <a:ext uri="{FF2B5EF4-FFF2-40B4-BE49-F238E27FC236}">
              <a16:creationId xmlns:a16="http://schemas.microsoft.com/office/drawing/2014/main" id="{00000000-0008-0000-0700-000002000000}"/>
            </a:ext>
          </a:extLst>
        </xdr:cNvPr>
        <xdr:cNvSpPr txBox="1"/>
      </xdr:nvSpPr>
      <xdr:spPr>
        <a:xfrm>
          <a:off x="7086600" y="0"/>
          <a:ext cx="4510081"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an</a:t>
          </a:r>
        </a:p>
        <a:p>
          <a:r>
            <a:rPr lang="de-DE" sz="1100" b="1" baseline="0"/>
            <a:t>einer Modellampel über zwei WS2811 Module.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zwei WS2811 Moule welche einzelne LEDs in den </a:t>
          </a:r>
        </a:p>
        <a:p>
          <a:r>
            <a:rPr lang="de-DE" sz="1100" b="0" i="0" u="none" strike="noStrike" baseline="0">
              <a:solidFill>
                <a:schemeClr val="tx1"/>
              </a:solidFill>
              <a:effectLst/>
              <a:latin typeface="+mn-lt"/>
              <a:ea typeface="+mn-ea"/>
              <a:cs typeface="+mn-cs"/>
            </a:rPr>
            <a:t>Ampelmodellen ansteuern.  Wenn dieses Beispiel mit einem RGB Stripe</a:t>
          </a:r>
        </a:p>
        <a:p>
          <a:r>
            <a:rPr lang="de-DE" sz="1100" b="0" i="0" u="none" strike="noStrike" baseline="0">
              <a:solidFill>
                <a:schemeClr val="tx1"/>
              </a:solidFill>
              <a:effectLst/>
              <a:latin typeface="+mn-lt"/>
              <a:ea typeface="+mn-ea"/>
              <a:cs typeface="+mn-cs"/>
            </a:rPr>
            <a:t>getestet wir, dann werden die Farben falsch dargestellt (Blau anstelle von </a:t>
          </a:r>
        </a:p>
        <a:p>
          <a:r>
            <a:rPr lang="de-DE" sz="1100" b="0" i="0" u="none" strike="noStrike" baseline="0">
              <a:solidFill>
                <a:schemeClr val="tx1"/>
              </a:solidFill>
              <a:effectLst/>
              <a:latin typeface="+mn-lt"/>
              <a:ea typeface="+mn-ea"/>
              <a:cs typeface="+mn-cs"/>
            </a:rPr>
            <a:t>Gelb, Lila anstelle von Rot+Gelb).</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986826"/>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7086600" y="0"/>
          <a:ext cx="4510081"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an</a:t>
          </a:r>
        </a:p>
        <a:p>
          <a:r>
            <a:rPr lang="de-DE" sz="1100" b="1" baseline="0"/>
            <a:t>einer Modellampel über zwei WS2811 Module.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zwei WS2811 Moule welche einzelne LEDs in den </a:t>
          </a:r>
        </a:p>
        <a:p>
          <a:r>
            <a:rPr lang="de-DE" sz="1100" b="0" i="0" u="none" strike="noStrike" baseline="0">
              <a:solidFill>
                <a:schemeClr val="tx1"/>
              </a:solidFill>
              <a:effectLst/>
              <a:latin typeface="+mn-lt"/>
              <a:ea typeface="+mn-ea"/>
              <a:cs typeface="+mn-cs"/>
            </a:rPr>
            <a:t>Ampelmodellen ansteuern.  Wenn dieses Beispiel mit einem RGB Stripe</a:t>
          </a:r>
        </a:p>
        <a:p>
          <a:r>
            <a:rPr lang="de-DE" sz="1100" b="0" i="0" u="none" strike="noStrike" baseline="0">
              <a:solidFill>
                <a:schemeClr val="tx1"/>
              </a:solidFill>
              <a:effectLst/>
              <a:latin typeface="+mn-lt"/>
              <a:ea typeface="+mn-ea"/>
              <a:cs typeface="+mn-cs"/>
            </a:rPr>
            <a:t>getestet wir, dann werden die Farben falsch dargestellt (Blau anstelle von </a:t>
          </a:r>
        </a:p>
        <a:p>
          <a:r>
            <a:rPr lang="de-DE" sz="1100" b="0" i="0" u="none" strike="noStrike" baseline="0">
              <a:solidFill>
                <a:schemeClr val="tx1"/>
              </a:solidFill>
              <a:effectLst/>
              <a:latin typeface="+mn-lt"/>
              <a:ea typeface="+mn-ea"/>
              <a:cs typeface="+mn-cs"/>
            </a:rPr>
            <a:t>Gelb, Lila anstelle von Rot+Gelb).</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14</xdr:col>
      <xdr:colOff>160020</xdr:colOff>
      <xdr:row>0</xdr:row>
      <xdr:rowOff>0</xdr:rowOff>
    </xdr:from>
    <xdr:ext cx="4645567" cy="1986826"/>
    <xdr:sp macro="" textlink="">
      <xdr:nvSpPr>
        <xdr:cNvPr id="4" name="Textfeld 3">
          <a:extLst>
            <a:ext uri="{FF2B5EF4-FFF2-40B4-BE49-F238E27FC236}">
              <a16:creationId xmlns:a16="http://schemas.microsoft.com/office/drawing/2014/main" id="{00000000-0008-0000-0900-000004000000}"/>
            </a:ext>
          </a:extLst>
        </xdr:cNvPr>
        <xdr:cNvSpPr txBox="1"/>
      </xdr:nvSpPr>
      <xdr:spPr>
        <a:xfrm>
          <a:off x="7086600" y="0"/>
          <a:ext cx="4645567"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mit </a:t>
          </a:r>
          <a:br>
            <a:rPr lang="de-DE" sz="1100" b="1" baseline="0"/>
          </a:br>
          <a:r>
            <a:rPr lang="de-DE" sz="1100" b="1" baseline="0"/>
            <a:t>einem RGB LED stripe.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a:p>
          <a:r>
            <a:rPr lang="de-DE" sz="1100" b="0" i="0" u="none" strike="noStrike" baseline="0">
              <a:solidFill>
                <a:schemeClr val="tx1"/>
              </a:solidFill>
              <a:effectLst/>
              <a:latin typeface="+mn-lt"/>
              <a:ea typeface="+mn-ea"/>
              <a:cs typeface="+mn-cs"/>
            </a:rPr>
            <a:t>Das folgend Beispiel zeigt wie das aussieht wenn einzelne LEDs in einer Ampel</a:t>
          </a:r>
        </a:p>
        <a:p>
          <a:r>
            <a:rPr lang="de-DE" sz="1100" b="0" i="0" u="none" strike="noStrike" baseline="0">
              <a:solidFill>
                <a:schemeClr val="tx1"/>
              </a:solidFill>
              <a:effectLst/>
              <a:latin typeface="+mn-lt"/>
              <a:ea typeface="+mn-ea"/>
              <a:cs typeface="+mn-cs"/>
            </a:rPr>
            <a:t>angesteuert werden.</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14</xdr:col>
      <xdr:colOff>160020</xdr:colOff>
      <xdr:row>0</xdr:row>
      <xdr:rowOff>0</xdr:rowOff>
    </xdr:from>
    <xdr:ext cx="4645567" cy="1986826"/>
    <xdr:sp macro="" textlink="">
      <xdr:nvSpPr>
        <xdr:cNvPr id="2" name="Textfeld 1">
          <a:extLst>
            <a:ext uri="{FF2B5EF4-FFF2-40B4-BE49-F238E27FC236}">
              <a16:creationId xmlns:a16="http://schemas.microsoft.com/office/drawing/2014/main" id="{00000000-0008-0000-0A00-000002000000}"/>
            </a:ext>
          </a:extLst>
        </xdr:cNvPr>
        <xdr:cNvSpPr txBox="1"/>
      </xdr:nvSpPr>
      <xdr:spPr>
        <a:xfrm>
          <a:off x="7086600" y="0"/>
          <a:ext cx="4645567"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mit </a:t>
          </a:r>
          <a:br>
            <a:rPr lang="de-DE" sz="1100" b="1" baseline="0"/>
          </a:br>
          <a:r>
            <a:rPr lang="de-DE" sz="1100" b="1" baseline="0"/>
            <a:t>einem RGB LED stripe.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a:p>
          <a:r>
            <a:rPr lang="de-DE" sz="1100" b="0" i="0" u="none" strike="noStrike" baseline="0">
              <a:solidFill>
                <a:schemeClr val="tx1"/>
              </a:solidFill>
              <a:effectLst/>
              <a:latin typeface="+mn-lt"/>
              <a:ea typeface="+mn-ea"/>
              <a:cs typeface="+mn-cs"/>
            </a:rPr>
            <a:t>Das folgend Beispiel zeigt wie das aussieht wenn einzelne LEDs in einer Ampel</a:t>
          </a:r>
        </a:p>
        <a:p>
          <a:r>
            <a:rPr lang="de-DE" sz="1100" b="0" i="0" u="none" strike="noStrike" baseline="0">
              <a:solidFill>
                <a:schemeClr val="tx1"/>
              </a:solidFill>
              <a:effectLst/>
              <a:latin typeface="+mn-lt"/>
              <a:ea typeface="+mn-ea"/>
              <a:cs typeface="+mn-cs"/>
            </a:rPr>
            <a:t>angesteuert werden.</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642373"/>
    <xdr:sp macro="" textlink="">
      <xdr:nvSpPr>
        <xdr:cNvPr id="2" name="Textfeld 1">
          <a:extLst>
            <a:ext uri="{FF2B5EF4-FFF2-40B4-BE49-F238E27FC236}">
              <a16:creationId xmlns:a16="http://schemas.microsoft.com/office/drawing/2014/main" id="{00000000-0008-0000-0B00-000002000000}"/>
            </a:ext>
          </a:extLst>
        </xdr:cNvPr>
        <xdr:cNvSpPr txBox="1"/>
      </xdr:nvSpPr>
      <xdr:spPr>
        <a:xfrm>
          <a:off x="7086600" y="0"/>
          <a:ext cx="4510081" cy="16423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a:t>
          </a:r>
        </a:p>
        <a:p>
          <a:r>
            <a:rPr lang="de-DE" sz="1100" b="1" baseline="0"/>
            <a:t>dabei werden die LEDs langsam Ein- und Ausgeschaltet.</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twoCellAnchor>
    <xdr:from>
      <xdr:col>4</xdr:col>
      <xdr:colOff>8755</xdr:colOff>
      <xdr:row>48</xdr:row>
      <xdr:rowOff>7620</xdr:rowOff>
    </xdr:from>
    <xdr:to>
      <xdr:col>5</xdr:col>
      <xdr:colOff>6446</xdr:colOff>
      <xdr:row>49</xdr:row>
      <xdr:rowOff>0</xdr:rowOff>
    </xdr:to>
    <xdr:sp macro="" textlink="">
      <xdr:nvSpPr>
        <xdr:cNvPr id="4" name="Rechtwinkliges Dreieck 3">
          <a:extLst>
            <a:ext uri="{FF2B5EF4-FFF2-40B4-BE49-F238E27FC236}">
              <a16:creationId xmlns:a16="http://schemas.microsoft.com/office/drawing/2014/main" id="{00000000-0008-0000-0B00-000004000000}"/>
            </a:ext>
          </a:extLst>
        </xdr:cNvPr>
        <xdr:cNvSpPr/>
      </xdr:nvSpPr>
      <xdr:spPr>
        <a:xfrm flipH="1">
          <a:off x="1829088" y="5627370"/>
          <a:ext cx="505691" cy="177588"/>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16</xdr:col>
      <xdr:colOff>5386</xdr:colOff>
      <xdr:row>48</xdr:row>
      <xdr:rowOff>6561</xdr:rowOff>
    </xdr:from>
    <xdr:to>
      <xdr:col>17</xdr:col>
      <xdr:colOff>21165</xdr:colOff>
      <xdr:row>48</xdr:row>
      <xdr:rowOff>184149</xdr:rowOff>
    </xdr:to>
    <xdr:sp macro="" textlink="">
      <xdr:nvSpPr>
        <xdr:cNvPr id="5" name="Rechtwinkliges Dreieck 4">
          <a:extLst>
            <a:ext uri="{FF2B5EF4-FFF2-40B4-BE49-F238E27FC236}">
              <a16:creationId xmlns:a16="http://schemas.microsoft.com/office/drawing/2014/main" id="{00000000-0008-0000-0B00-000005000000}"/>
            </a:ext>
          </a:extLst>
        </xdr:cNvPr>
        <xdr:cNvSpPr/>
      </xdr:nvSpPr>
      <xdr:spPr>
        <a:xfrm>
          <a:off x="7921719" y="5626311"/>
          <a:ext cx="523779" cy="177588"/>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645</xdr:colOff>
      <xdr:row>48</xdr:row>
      <xdr:rowOff>3313</xdr:rowOff>
    </xdr:from>
    <xdr:to>
      <xdr:col>16</xdr:col>
      <xdr:colOff>3628</xdr:colOff>
      <xdr:row>49</xdr:row>
      <xdr:rowOff>1013</xdr:rowOff>
    </xdr:to>
    <xdr:sp macro="" textlink="">
      <xdr:nvSpPr>
        <xdr:cNvPr id="7" name="Rechteck 6">
          <a:extLst>
            <a:ext uri="{FF2B5EF4-FFF2-40B4-BE49-F238E27FC236}">
              <a16:creationId xmlns:a16="http://schemas.microsoft.com/office/drawing/2014/main" id="{00000000-0008-0000-0B00-000007000000}"/>
            </a:ext>
          </a:extLst>
        </xdr:cNvPr>
        <xdr:cNvSpPr/>
      </xdr:nvSpPr>
      <xdr:spPr>
        <a:xfrm>
          <a:off x="2333816" y="5547770"/>
          <a:ext cx="5630898" cy="179129"/>
        </a:xfrm>
        <a:prstGeom prst="rect">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12</xdr:col>
      <xdr:colOff>7546</xdr:colOff>
      <xdr:row>38</xdr:row>
      <xdr:rowOff>184513</xdr:rowOff>
    </xdr:from>
    <xdr:to>
      <xdr:col>13</xdr:col>
      <xdr:colOff>5236</xdr:colOff>
      <xdr:row>39</xdr:row>
      <xdr:rowOff>166008</xdr:rowOff>
    </xdr:to>
    <xdr:sp macro="" textlink="">
      <xdr:nvSpPr>
        <xdr:cNvPr id="8" name="Rechtwinkliges Dreieck 7">
          <a:extLst>
            <a:ext uri="{FF2B5EF4-FFF2-40B4-BE49-F238E27FC236}">
              <a16:creationId xmlns:a16="http://schemas.microsoft.com/office/drawing/2014/main" id="{00000000-0008-0000-0B00-000008000000}"/>
            </a:ext>
          </a:extLst>
        </xdr:cNvPr>
        <xdr:cNvSpPr/>
      </xdr:nvSpPr>
      <xdr:spPr>
        <a:xfrm flipH="1">
          <a:off x="5922117" y="3918313"/>
          <a:ext cx="509319" cy="173809"/>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4176</xdr:colOff>
      <xdr:row>38</xdr:row>
      <xdr:rowOff>187083</xdr:rowOff>
    </xdr:from>
    <xdr:to>
      <xdr:col>9</xdr:col>
      <xdr:colOff>19954</xdr:colOff>
      <xdr:row>40</xdr:row>
      <xdr:rowOff>5442</xdr:rowOff>
    </xdr:to>
    <xdr:sp macro="" textlink="">
      <xdr:nvSpPr>
        <xdr:cNvPr id="9" name="Rechtwinkliges Dreieck 8">
          <a:extLst>
            <a:ext uri="{FF2B5EF4-FFF2-40B4-BE49-F238E27FC236}">
              <a16:creationId xmlns:a16="http://schemas.microsoft.com/office/drawing/2014/main" id="{00000000-0008-0000-0B00-000009000000}"/>
            </a:ext>
          </a:extLst>
        </xdr:cNvPr>
        <xdr:cNvSpPr/>
      </xdr:nvSpPr>
      <xdr:spPr>
        <a:xfrm>
          <a:off x="3872233" y="3920883"/>
          <a:ext cx="527407" cy="177588"/>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3629</xdr:colOff>
      <xdr:row>38</xdr:row>
      <xdr:rowOff>188370</xdr:rowOff>
    </xdr:from>
    <xdr:to>
      <xdr:col>19</xdr:col>
      <xdr:colOff>511628</xdr:colOff>
      <xdr:row>40</xdr:row>
      <xdr:rowOff>8270</xdr:rowOff>
    </xdr:to>
    <xdr:sp macro="" textlink="">
      <xdr:nvSpPr>
        <xdr:cNvPr id="10" name="Rechteck 9">
          <a:extLst>
            <a:ext uri="{FF2B5EF4-FFF2-40B4-BE49-F238E27FC236}">
              <a16:creationId xmlns:a16="http://schemas.microsoft.com/office/drawing/2014/main" id="{00000000-0008-0000-0B00-00000A000000}"/>
            </a:ext>
          </a:extLst>
        </xdr:cNvPr>
        <xdr:cNvSpPr/>
      </xdr:nvSpPr>
      <xdr:spPr>
        <a:xfrm>
          <a:off x="6429829" y="3922170"/>
          <a:ext cx="3577770" cy="179129"/>
        </a:xfrm>
        <a:prstGeom prst="rect">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3</xdr:col>
      <xdr:colOff>957943</xdr:colOff>
      <xdr:row>38</xdr:row>
      <xdr:rowOff>191999</xdr:rowOff>
    </xdr:from>
    <xdr:to>
      <xdr:col>8</xdr:col>
      <xdr:colOff>3628</xdr:colOff>
      <xdr:row>40</xdr:row>
      <xdr:rowOff>7257</xdr:rowOff>
    </xdr:to>
    <xdr:sp macro="" textlink="">
      <xdr:nvSpPr>
        <xdr:cNvPr id="11" name="Rechteck 10">
          <a:extLst>
            <a:ext uri="{FF2B5EF4-FFF2-40B4-BE49-F238E27FC236}">
              <a16:creationId xmlns:a16="http://schemas.microsoft.com/office/drawing/2014/main" id="{00000000-0008-0000-0B00-00000B000000}"/>
            </a:ext>
          </a:extLst>
        </xdr:cNvPr>
        <xdr:cNvSpPr/>
      </xdr:nvSpPr>
      <xdr:spPr>
        <a:xfrm>
          <a:off x="1817914" y="3925799"/>
          <a:ext cx="2053771" cy="174487"/>
        </a:xfrm>
        <a:prstGeom prst="rect">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6</xdr:col>
      <xdr:colOff>7544</xdr:colOff>
      <xdr:row>41</xdr:row>
      <xdr:rowOff>177801</xdr:rowOff>
    </xdr:from>
    <xdr:to>
      <xdr:col>9</xdr:col>
      <xdr:colOff>19954</xdr:colOff>
      <xdr:row>44</xdr:row>
      <xdr:rowOff>3628</xdr:rowOff>
    </xdr:to>
    <xdr:grpSp>
      <xdr:nvGrpSpPr>
        <xdr:cNvPr id="15" name="Gruppieren 14">
          <a:extLst>
            <a:ext uri="{FF2B5EF4-FFF2-40B4-BE49-F238E27FC236}">
              <a16:creationId xmlns:a16="http://schemas.microsoft.com/office/drawing/2014/main" id="{00000000-0008-0000-0B00-00000F000000}"/>
            </a:ext>
          </a:extLst>
        </xdr:cNvPr>
        <xdr:cNvGrpSpPr/>
      </xdr:nvGrpSpPr>
      <xdr:grpSpPr>
        <a:xfrm>
          <a:off x="2849804" y="4467861"/>
          <a:ext cx="1544030" cy="374467"/>
          <a:chOff x="2852344" y="4452258"/>
          <a:chExt cx="1547296" cy="370113"/>
        </a:xfrm>
      </xdr:grpSpPr>
      <xdr:sp macro="" textlink="">
        <xdr:nvSpPr>
          <xdr:cNvPr id="12" name="Rechtwinkliges Dreieck 11">
            <a:extLst>
              <a:ext uri="{FF2B5EF4-FFF2-40B4-BE49-F238E27FC236}">
                <a16:creationId xmlns:a16="http://schemas.microsoft.com/office/drawing/2014/main" id="{00000000-0008-0000-0B00-00000C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 name="Rechtwinkliges Dreieck 12">
            <a:extLst>
              <a:ext uri="{FF2B5EF4-FFF2-40B4-BE49-F238E27FC236}">
                <a16:creationId xmlns:a16="http://schemas.microsoft.com/office/drawing/2014/main" id="{00000000-0008-0000-0B00-00000D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 name="Rechteck 13">
            <a:extLst>
              <a:ext uri="{FF2B5EF4-FFF2-40B4-BE49-F238E27FC236}">
                <a16:creationId xmlns:a16="http://schemas.microsoft.com/office/drawing/2014/main" id="{00000000-0008-0000-0B00-00000E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10</xdr:col>
      <xdr:colOff>14802</xdr:colOff>
      <xdr:row>42</xdr:row>
      <xdr:rowOff>3629</xdr:rowOff>
    </xdr:from>
    <xdr:to>
      <xdr:col>13</xdr:col>
      <xdr:colOff>27212</xdr:colOff>
      <xdr:row>44</xdr:row>
      <xdr:rowOff>10885</xdr:rowOff>
    </xdr:to>
    <xdr:grpSp>
      <xdr:nvGrpSpPr>
        <xdr:cNvPr id="16" name="Gruppieren 15">
          <a:extLst>
            <a:ext uri="{FF2B5EF4-FFF2-40B4-BE49-F238E27FC236}">
              <a16:creationId xmlns:a16="http://schemas.microsoft.com/office/drawing/2014/main" id="{00000000-0008-0000-0B00-000010000000}"/>
            </a:ext>
          </a:extLst>
        </xdr:cNvPr>
        <xdr:cNvGrpSpPr/>
      </xdr:nvGrpSpPr>
      <xdr:grpSpPr>
        <a:xfrm>
          <a:off x="4899222" y="4476569"/>
          <a:ext cx="1544030" cy="373016"/>
          <a:chOff x="2852344" y="4452258"/>
          <a:chExt cx="1547296" cy="370113"/>
        </a:xfrm>
      </xdr:grpSpPr>
      <xdr:sp macro="" textlink="">
        <xdr:nvSpPr>
          <xdr:cNvPr id="17" name="Rechtwinkliges Dreieck 16">
            <a:extLst>
              <a:ext uri="{FF2B5EF4-FFF2-40B4-BE49-F238E27FC236}">
                <a16:creationId xmlns:a16="http://schemas.microsoft.com/office/drawing/2014/main" id="{00000000-0008-0000-0B00-000011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8" name="Rechtwinkliges Dreieck 17">
            <a:extLst>
              <a:ext uri="{FF2B5EF4-FFF2-40B4-BE49-F238E27FC236}">
                <a16:creationId xmlns:a16="http://schemas.microsoft.com/office/drawing/2014/main" id="{00000000-0008-0000-0B00-000012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9" name="Rechteck 18">
            <a:extLst>
              <a:ext uri="{FF2B5EF4-FFF2-40B4-BE49-F238E27FC236}">
                <a16:creationId xmlns:a16="http://schemas.microsoft.com/office/drawing/2014/main" id="{00000000-0008-0000-0B00-000013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14</xdr:col>
      <xdr:colOff>25687</xdr:colOff>
      <xdr:row>51</xdr:row>
      <xdr:rowOff>7258</xdr:rowOff>
    </xdr:from>
    <xdr:to>
      <xdr:col>17</xdr:col>
      <xdr:colOff>38098</xdr:colOff>
      <xdr:row>53</xdr:row>
      <xdr:rowOff>14514</xdr:rowOff>
    </xdr:to>
    <xdr:grpSp>
      <xdr:nvGrpSpPr>
        <xdr:cNvPr id="20" name="Gruppieren 19">
          <a:extLst>
            <a:ext uri="{FF2B5EF4-FFF2-40B4-BE49-F238E27FC236}">
              <a16:creationId xmlns:a16="http://schemas.microsoft.com/office/drawing/2014/main" id="{00000000-0008-0000-0B00-000014000000}"/>
            </a:ext>
          </a:extLst>
        </xdr:cNvPr>
        <xdr:cNvGrpSpPr/>
      </xdr:nvGrpSpPr>
      <xdr:grpSpPr>
        <a:xfrm>
          <a:off x="6952267" y="6126118"/>
          <a:ext cx="1544031" cy="373016"/>
          <a:chOff x="2852344" y="4452258"/>
          <a:chExt cx="1547296" cy="370113"/>
        </a:xfrm>
      </xdr:grpSpPr>
      <xdr:sp macro="" textlink="">
        <xdr:nvSpPr>
          <xdr:cNvPr id="21" name="Rechtwinkliges Dreieck 20">
            <a:extLst>
              <a:ext uri="{FF2B5EF4-FFF2-40B4-BE49-F238E27FC236}">
                <a16:creationId xmlns:a16="http://schemas.microsoft.com/office/drawing/2014/main" id="{00000000-0008-0000-0B00-000015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2" name="Rechtwinkliges Dreieck 21">
            <a:extLst>
              <a:ext uri="{FF2B5EF4-FFF2-40B4-BE49-F238E27FC236}">
                <a16:creationId xmlns:a16="http://schemas.microsoft.com/office/drawing/2014/main" id="{00000000-0008-0000-0B00-000016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3" name="Rechteck 22">
            <a:extLst>
              <a:ext uri="{FF2B5EF4-FFF2-40B4-BE49-F238E27FC236}">
                <a16:creationId xmlns:a16="http://schemas.microsoft.com/office/drawing/2014/main" id="{00000000-0008-0000-0B00-000017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18</xdr:col>
      <xdr:colOff>25688</xdr:colOff>
      <xdr:row>51</xdr:row>
      <xdr:rowOff>1</xdr:rowOff>
    </xdr:from>
    <xdr:to>
      <xdr:col>19</xdr:col>
      <xdr:colOff>23392</xdr:colOff>
      <xdr:row>53</xdr:row>
      <xdr:rowOff>2688</xdr:rowOff>
    </xdr:to>
    <xdr:sp macro="" textlink="">
      <xdr:nvSpPr>
        <xdr:cNvPr id="25" name="Rechtwinkliges Dreieck 24">
          <a:extLst>
            <a:ext uri="{FF2B5EF4-FFF2-40B4-BE49-F238E27FC236}">
              <a16:creationId xmlns:a16="http://schemas.microsoft.com/office/drawing/2014/main" id="{00000000-0008-0000-0B00-000019000000}"/>
            </a:ext>
          </a:extLst>
        </xdr:cNvPr>
        <xdr:cNvSpPr/>
      </xdr:nvSpPr>
      <xdr:spPr>
        <a:xfrm flipH="1">
          <a:off x="8994428" y="6118861"/>
          <a:ext cx="508244" cy="368447"/>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xdr:col>
      <xdr:colOff>951984</xdr:colOff>
      <xdr:row>50</xdr:row>
      <xdr:rowOff>180958</xdr:rowOff>
    </xdr:from>
    <xdr:to>
      <xdr:col>5</xdr:col>
      <xdr:colOff>7618</xdr:colOff>
      <xdr:row>52</xdr:row>
      <xdr:rowOff>182517</xdr:rowOff>
    </xdr:to>
    <xdr:sp macro="" textlink="">
      <xdr:nvSpPr>
        <xdr:cNvPr id="26" name="Rechtwinkliges Dreieck 25">
          <a:extLst>
            <a:ext uri="{FF2B5EF4-FFF2-40B4-BE49-F238E27FC236}">
              <a16:creationId xmlns:a16="http://schemas.microsoft.com/office/drawing/2014/main" id="{00000000-0008-0000-0B00-00001A000000}"/>
            </a:ext>
          </a:extLst>
        </xdr:cNvPr>
        <xdr:cNvSpPr/>
      </xdr:nvSpPr>
      <xdr:spPr>
        <a:xfrm>
          <a:off x="1813044" y="6116938"/>
          <a:ext cx="526294" cy="367319"/>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19</xdr:col>
      <xdr:colOff>18812</xdr:colOff>
      <xdr:row>51</xdr:row>
      <xdr:rowOff>3339</xdr:rowOff>
    </xdr:from>
    <xdr:to>
      <xdr:col>20</xdr:col>
      <xdr:colOff>21799</xdr:colOff>
      <xdr:row>53</xdr:row>
      <xdr:rowOff>7257</xdr:rowOff>
    </xdr:to>
    <xdr:sp macro="" textlink="">
      <xdr:nvSpPr>
        <xdr:cNvPr id="27" name="Rechteck 26">
          <a:extLst>
            <a:ext uri="{FF2B5EF4-FFF2-40B4-BE49-F238E27FC236}">
              <a16:creationId xmlns:a16="http://schemas.microsoft.com/office/drawing/2014/main" id="{00000000-0008-0000-0B00-00001B000000}"/>
            </a:ext>
          </a:extLst>
        </xdr:cNvPr>
        <xdr:cNvSpPr/>
      </xdr:nvSpPr>
      <xdr:spPr>
        <a:xfrm>
          <a:off x="9498092" y="6122199"/>
          <a:ext cx="513527" cy="369678"/>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8</xdr:col>
      <xdr:colOff>288</xdr:colOff>
      <xdr:row>45</xdr:row>
      <xdr:rowOff>177800</xdr:rowOff>
    </xdr:from>
    <xdr:to>
      <xdr:col>11</xdr:col>
      <xdr:colOff>12698</xdr:colOff>
      <xdr:row>47</xdr:row>
      <xdr:rowOff>3627</xdr:rowOff>
    </xdr:to>
    <xdr:grpSp>
      <xdr:nvGrpSpPr>
        <xdr:cNvPr id="28" name="Gruppieren 27">
          <a:extLst>
            <a:ext uri="{FF2B5EF4-FFF2-40B4-BE49-F238E27FC236}">
              <a16:creationId xmlns:a16="http://schemas.microsoft.com/office/drawing/2014/main" id="{00000000-0008-0000-0B00-00001C000000}"/>
            </a:ext>
          </a:extLst>
        </xdr:cNvPr>
        <xdr:cNvGrpSpPr/>
      </xdr:nvGrpSpPr>
      <xdr:grpSpPr>
        <a:xfrm>
          <a:off x="3863628" y="5199380"/>
          <a:ext cx="1544030" cy="191587"/>
          <a:chOff x="2852344" y="4452258"/>
          <a:chExt cx="1547296" cy="370113"/>
        </a:xfrm>
        <a:solidFill>
          <a:srgbClr val="00B050">
            <a:alpha val="50000"/>
          </a:srgbClr>
        </a:solidFill>
      </xdr:grpSpPr>
      <xdr:sp macro="" textlink="">
        <xdr:nvSpPr>
          <xdr:cNvPr id="29" name="Rechtwinkliges Dreieck 28">
            <a:extLst>
              <a:ext uri="{FF2B5EF4-FFF2-40B4-BE49-F238E27FC236}">
                <a16:creationId xmlns:a16="http://schemas.microsoft.com/office/drawing/2014/main" id="{00000000-0008-0000-0B00-00001D000000}"/>
              </a:ext>
            </a:extLst>
          </xdr:cNvPr>
          <xdr:cNvSpPr/>
        </xdr:nvSpPr>
        <xdr:spPr>
          <a:xfrm flipH="1">
            <a:off x="2852344" y="4452258"/>
            <a:ext cx="509319" cy="36558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0" name="Rechtwinkliges Dreieck 29">
            <a:extLst>
              <a:ext uri="{FF2B5EF4-FFF2-40B4-BE49-F238E27FC236}">
                <a16:creationId xmlns:a16="http://schemas.microsoft.com/office/drawing/2014/main" id="{00000000-0008-0000-0B00-00001E000000}"/>
              </a:ext>
            </a:extLst>
          </xdr:cNvPr>
          <xdr:cNvSpPr/>
        </xdr:nvSpPr>
        <xdr:spPr>
          <a:xfrm>
            <a:off x="3872233" y="4457911"/>
            <a:ext cx="527407" cy="36446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1" name="Rechteck 30">
            <a:extLst>
              <a:ext uri="{FF2B5EF4-FFF2-40B4-BE49-F238E27FC236}">
                <a16:creationId xmlns:a16="http://schemas.microsoft.com/office/drawing/2014/main" id="{00000000-0008-0000-0B00-00001F000000}"/>
              </a:ext>
            </a:extLst>
          </xdr:cNvPr>
          <xdr:cNvSpPr/>
        </xdr:nvSpPr>
        <xdr:spPr>
          <a:xfrm>
            <a:off x="3357073" y="4455570"/>
            <a:ext cx="514613" cy="36680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16</xdr:col>
      <xdr:colOff>7545</xdr:colOff>
      <xdr:row>54</xdr:row>
      <xdr:rowOff>177799</xdr:rowOff>
    </xdr:from>
    <xdr:to>
      <xdr:col>19</xdr:col>
      <xdr:colOff>19956</xdr:colOff>
      <xdr:row>56</xdr:row>
      <xdr:rowOff>3627</xdr:rowOff>
    </xdr:to>
    <xdr:grpSp>
      <xdr:nvGrpSpPr>
        <xdr:cNvPr id="32" name="Gruppieren 31">
          <a:extLst>
            <a:ext uri="{FF2B5EF4-FFF2-40B4-BE49-F238E27FC236}">
              <a16:creationId xmlns:a16="http://schemas.microsoft.com/office/drawing/2014/main" id="{00000000-0008-0000-0B00-000020000000}"/>
            </a:ext>
          </a:extLst>
        </xdr:cNvPr>
        <xdr:cNvGrpSpPr/>
      </xdr:nvGrpSpPr>
      <xdr:grpSpPr>
        <a:xfrm>
          <a:off x="7955205" y="6845299"/>
          <a:ext cx="1544031" cy="191588"/>
          <a:chOff x="2852344" y="4452258"/>
          <a:chExt cx="1547296" cy="370113"/>
        </a:xfrm>
        <a:solidFill>
          <a:srgbClr val="00B050">
            <a:alpha val="50000"/>
          </a:srgbClr>
        </a:solidFill>
      </xdr:grpSpPr>
      <xdr:sp macro="" textlink="">
        <xdr:nvSpPr>
          <xdr:cNvPr id="33" name="Rechtwinkliges Dreieck 32">
            <a:extLst>
              <a:ext uri="{FF2B5EF4-FFF2-40B4-BE49-F238E27FC236}">
                <a16:creationId xmlns:a16="http://schemas.microsoft.com/office/drawing/2014/main" id="{00000000-0008-0000-0B00-000021000000}"/>
              </a:ext>
            </a:extLst>
          </xdr:cNvPr>
          <xdr:cNvSpPr/>
        </xdr:nvSpPr>
        <xdr:spPr>
          <a:xfrm flipH="1">
            <a:off x="2852344" y="4452258"/>
            <a:ext cx="509319" cy="36558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4" name="Rechtwinkliges Dreieck 33">
            <a:extLst>
              <a:ext uri="{FF2B5EF4-FFF2-40B4-BE49-F238E27FC236}">
                <a16:creationId xmlns:a16="http://schemas.microsoft.com/office/drawing/2014/main" id="{00000000-0008-0000-0B00-000022000000}"/>
              </a:ext>
            </a:extLst>
          </xdr:cNvPr>
          <xdr:cNvSpPr/>
        </xdr:nvSpPr>
        <xdr:spPr>
          <a:xfrm>
            <a:off x="3872233" y="4457911"/>
            <a:ext cx="527407" cy="36446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5" name="Rechteck 34">
            <a:extLst>
              <a:ext uri="{FF2B5EF4-FFF2-40B4-BE49-F238E27FC236}">
                <a16:creationId xmlns:a16="http://schemas.microsoft.com/office/drawing/2014/main" id="{00000000-0008-0000-0B00-000023000000}"/>
              </a:ext>
            </a:extLst>
          </xdr:cNvPr>
          <xdr:cNvSpPr/>
        </xdr:nvSpPr>
        <xdr:spPr>
          <a:xfrm>
            <a:off x="3357073" y="4455570"/>
            <a:ext cx="514613" cy="36680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7</xdr:col>
      <xdr:colOff>0</xdr:colOff>
      <xdr:row>6</xdr:row>
      <xdr:rowOff>137160</xdr:rowOff>
    </xdr:from>
    <xdr:to>
      <xdr:col>9</xdr:col>
      <xdr:colOff>53340</xdr:colOff>
      <xdr:row>9</xdr:row>
      <xdr:rowOff>160020</xdr:rowOff>
    </xdr:to>
    <xdr:sp macro="" textlink="">
      <xdr:nvSpPr>
        <xdr:cNvPr id="36" name="Sprechblase: rechteckig mit abgerundeten Ecken 35">
          <a:extLst>
            <a:ext uri="{FF2B5EF4-FFF2-40B4-BE49-F238E27FC236}">
              <a16:creationId xmlns:a16="http://schemas.microsoft.com/office/drawing/2014/main" id="{00000000-0008-0000-0B00-000024000000}"/>
            </a:ext>
          </a:extLst>
        </xdr:cNvPr>
        <xdr:cNvSpPr/>
      </xdr:nvSpPr>
      <xdr:spPr>
        <a:xfrm>
          <a:off x="3352800" y="1234440"/>
          <a:ext cx="1074420" cy="571500"/>
        </a:xfrm>
        <a:prstGeom prst="wedgeRoundRectCallout">
          <a:avLst>
            <a:gd name="adj1" fmla="val -148926"/>
            <a:gd name="adj2" fmla="val 7180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200"/>
            <a:t>Überblenden der Farben</a:t>
          </a:r>
        </a:p>
      </xdr:txBody>
    </xdr:sp>
    <xdr:clientData/>
  </xdr:twoCellAnchor>
</xdr:wsDr>
</file>

<file path=xl/drawings/drawing14.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642373"/>
    <xdr:sp macro="" textlink="">
      <xdr:nvSpPr>
        <xdr:cNvPr id="2" name="Textfeld 1">
          <a:extLst>
            <a:ext uri="{FF2B5EF4-FFF2-40B4-BE49-F238E27FC236}">
              <a16:creationId xmlns:a16="http://schemas.microsoft.com/office/drawing/2014/main" id="{00000000-0008-0000-0C00-000002000000}"/>
            </a:ext>
          </a:extLst>
        </xdr:cNvPr>
        <xdr:cNvSpPr txBox="1"/>
      </xdr:nvSpPr>
      <xdr:spPr>
        <a:xfrm>
          <a:off x="7086600" y="0"/>
          <a:ext cx="4510081" cy="16423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a:t>
          </a:r>
        </a:p>
        <a:p>
          <a:r>
            <a:rPr lang="de-DE" sz="1100" b="1" baseline="0"/>
            <a:t>dabei werden die LEDs langsam Ein- und Ausgeschaltet.</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twoCellAnchor>
    <xdr:from>
      <xdr:col>3</xdr:col>
      <xdr:colOff>952424</xdr:colOff>
      <xdr:row>42</xdr:row>
      <xdr:rowOff>2541</xdr:rowOff>
    </xdr:from>
    <xdr:to>
      <xdr:col>7</xdr:col>
      <xdr:colOff>4714</xdr:colOff>
      <xdr:row>44</xdr:row>
      <xdr:rowOff>11248</xdr:rowOff>
    </xdr:to>
    <xdr:grpSp>
      <xdr:nvGrpSpPr>
        <xdr:cNvPr id="11" name="Gruppieren 10">
          <a:extLst>
            <a:ext uri="{FF2B5EF4-FFF2-40B4-BE49-F238E27FC236}">
              <a16:creationId xmlns:a16="http://schemas.microsoft.com/office/drawing/2014/main" id="{00000000-0008-0000-0C00-00000B000000}"/>
            </a:ext>
          </a:extLst>
        </xdr:cNvPr>
        <xdr:cNvGrpSpPr/>
      </xdr:nvGrpSpPr>
      <xdr:grpSpPr>
        <a:xfrm>
          <a:off x="1813484" y="4475481"/>
          <a:ext cx="1544030" cy="374467"/>
          <a:chOff x="2852344" y="4452258"/>
          <a:chExt cx="1547296" cy="370113"/>
        </a:xfrm>
      </xdr:grpSpPr>
      <xdr:sp macro="" textlink="">
        <xdr:nvSpPr>
          <xdr:cNvPr id="12" name="Rechtwinkliges Dreieck 11">
            <a:extLst>
              <a:ext uri="{FF2B5EF4-FFF2-40B4-BE49-F238E27FC236}">
                <a16:creationId xmlns:a16="http://schemas.microsoft.com/office/drawing/2014/main" id="{00000000-0008-0000-0C00-00000C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 name="Rechtwinkliges Dreieck 12">
            <a:extLst>
              <a:ext uri="{FF2B5EF4-FFF2-40B4-BE49-F238E27FC236}">
                <a16:creationId xmlns:a16="http://schemas.microsoft.com/office/drawing/2014/main" id="{00000000-0008-0000-0C00-00000D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 name="Rechteck 13">
            <a:extLst>
              <a:ext uri="{FF2B5EF4-FFF2-40B4-BE49-F238E27FC236}">
                <a16:creationId xmlns:a16="http://schemas.microsoft.com/office/drawing/2014/main" id="{00000000-0008-0000-0C00-00000E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4</xdr:col>
      <xdr:colOff>33307</xdr:colOff>
      <xdr:row>50</xdr:row>
      <xdr:rowOff>174898</xdr:rowOff>
    </xdr:from>
    <xdr:to>
      <xdr:col>7</xdr:col>
      <xdr:colOff>45718</xdr:colOff>
      <xdr:row>52</xdr:row>
      <xdr:rowOff>182154</xdr:rowOff>
    </xdr:to>
    <xdr:grpSp>
      <xdr:nvGrpSpPr>
        <xdr:cNvPr id="19" name="Gruppieren 18">
          <a:extLst>
            <a:ext uri="{FF2B5EF4-FFF2-40B4-BE49-F238E27FC236}">
              <a16:creationId xmlns:a16="http://schemas.microsoft.com/office/drawing/2014/main" id="{00000000-0008-0000-0C00-000013000000}"/>
            </a:ext>
          </a:extLst>
        </xdr:cNvPr>
        <xdr:cNvGrpSpPr/>
      </xdr:nvGrpSpPr>
      <xdr:grpSpPr>
        <a:xfrm>
          <a:off x="1854487" y="6110878"/>
          <a:ext cx="1544031" cy="373016"/>
          <a:chOff x="2852344" y="4452258"/>
          <a:chExt cx="1547296" cy="370113"/>
        </a:xfrm>
      </xdr:grpSpPr>
      <xdr:sp macro="" textlink="">
        <xdr:nvSpPr>
          <xdr:cNvPr id="20" name="Rechtwinkliges Dreieck 19">
            <a:extLst>
              <a:ext uri="{FF2B5EF4-FFF2-40B4-BE49-F238E27FC236}">
                <a16:creationId xmlns:a16="http://schemas.microsoft.com/office/drawing/2014/main" id="{00000000-0008-0000-0C00-000014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1" name="Rechtwinkliges Dreieck 20">
            <a:extLst>
              <a:ext uri="{FF2B5EF4-FFF2-40B4-BE49-F238E27FC236}">
                <a16:creationId xmlns:a16="http://schemas.microsoft.com/office/drawing/2014/main" id="{00000000-0008-0000-0C00-000015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2" name="Rechteck 21">
            <a:extLst>
              <a:ext uri="{FF2B5EF4-FFF2-40B4-BE49-F238E27FC236}">
                <a16:creationId xmlns:a16="http://schemas.microsoft.com/office/drawing/2014/main" id="{00000000-0008-0000-0C00-000016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7</xdr:col>
      <xdr:colOff>0</xdr:colOff>
      <xdr:row>6</xdr:row>
      <xdr:rowOff>137160</xdr:rowOff>
    </xdr:from>
    <xdr:to>
      <xdr:col>9</xdr:col>
      <xdr:colOff>53340</xdr:colOff>
      <xdr:row>9</xdr:row>
      <xdr:rowOff>160020</xdr:rowOff>
    </xdr:to>
    <xdr:sp macro="" textlink="">
      <xdr:nvSpPr>
        <xdr:cNvPr id="34" name="Sprechblase: rechteckig mit abgerundeten Ecken 33">
          <a:extLst>
            <a:ext uri="{FF2B5EF4-FFF2-40B4-BE49-F238E27FC236}">
              <a16:creationId xmlns:a16="http://schemas.microsoft.com/office/drawing/2014/main" id="{00000000-0008-0000-0C00-000022000000}"/>
            </a:ext>
          </a:extLst>
        </xdr:cNvPr>
        <xdr:cNvSpPr/>
      </xdr:nvSpPr>
      <xdr:spPr>
        <a:xfrm>
          <a:off x="3352800" y="1234440"/>
          <a:ext cx="1074420" cy="571500"/>
        </a:xfrm>
        <a:prstGeom prst="wedgeRoundRectCallout">
          <a:avLst>
            <a:gd name="adj1" fmla="val -148926"/>
            <a:gd name="adj2" fmla="val 7180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200"/>
            <a:t>Überblenden der Farben</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D55008F9-DE96-4E13-9141-7D4191FC8CD9}"/>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53340</xdr:colOff>
      <xdr:row>61</xdr:row>
      <xdr:rowOff>327660</xdr:rowOff>
    </xdr:from>
    <xdr:to>
      <xdr:col>4</xdr:col>
      <xdr:colOff>481911</xdr:colOff>
      <xdr:row>72</xdr:row>
      <xdr:rowOff>180719</xdr:rowOff>
    </xdr:to>
    <xdr:pic>
      <xdr:nvPicPr>
        <xdr:cNvPr id="6" name="Grafik 5">
          <a:extLst>
            <a:ext uri="{FF2B5EF4-FFF2-40B4-BE49-F238E27FC236}">
              <a16:creationId xmlns:a16="http://schemas.microsoft.com/office/drawing/2014/main" id="{0DC05A4D-82E5-488C-A1D5-F566AF851BDF}"/>
            </a:ext>
          </a:extLst>
        </xdr:cNvPr>
        <xdr:cNvPicPr>
          <a:picLocks noChangeAspect="1"/>
        </xdr:cNvPicPr>
      </xdr:nvPicPr>
      <xdr:blipFill>
        <a:blip xmlns:r="http://schemas.openxmlformats.org/officeDocument/2006/relationships" r:embed="rId1"/>
        <a:stretch>
          <a:fillRect/>
        </a:stretch>
      </xdr:blipFill>
      <xdr:spPr>
        <a:xfrm>
          <a:off x="1874520" y="8061960"/>
          <a:ext cx="428571" cy="2047619"/>
        </a:xfrm>
        <a:prstGeom prst="rect">
          <a:avLst/>
        </a:prstGeom>
      </xdr:spPr>
    </xdr:pic>
    <xdr:clientData/>
  </xdr:twoCellAnchor>
  <xdr:twoCellAnchor editAs="oneCell">
    <xdr:from>
      <xdr:col>5</xdr:col>
      <xdr:colOff>38100</xdr:colOff>
      <xdr:row>61</xdr:row>
      <xdr:rowOff>342900</xdr:rowOff>
    </xdr:from>
    <xdr:to>
      <xdr:col>5</xdr:col>
      <xdr:colOff>466671</xdr:colOff>
      <xdr:row>73</xdr:row>
      <xdr:rowOff>3555</xdr:rowOff>
    </xdr:to>
    <xdr:pic>
      <xdr:nvPicPr>
        <xdr:cNvPr id="7" name="Grafik 6">
          <a:extLst>
            <a:ext uri="{FF2B5EF4-FFF2-40B4-BE49-F238E27FC236}">
              <a16:creationId xmlns:a16="http://schemas.microsoft.com/office/drawing/2014/main" id="{0A692140-F0A4-48BD-BFFE-02758328E20E}"/>
            </a:ext>
          </a:extLst>
        </xdr:cNvPr>
        <xdr:cNvPicPr>
          <a:picLocks noChangeAspect="1"/>
        </xdr:cNvPicPr>
      </xdr:nvPicPr>
      <xdr:blipFill>
        <a:blip xmlns:r="http://schemas.openxmlformats.org/officeDocument/2006/relationships" r:embed="rId2"/>
        <a:stretch>
          <a:fillRect/>
        </a:stretch>
      </xdr:blipFill>
      <xdr:spPr>
        <a:xfrm>
          <a:off x="2369820" y="8077200"/>
          <a:ext cx="428571" cy="2038095"/>
        </a:xfrm>
        <a:prstGeom prst="rect">
          <a:avLst/>
        </a:prstGeom>
      </xdr:spPr>
    </xdr:pic>
    <xdr:clientData/>
  </xdr:twoCellAnchor>
  <xdr:twoCellAnchor editAs="oneCell">
    <xdr:from>
      <xdr:col>6</xdr:col>
      <xdr:colOff>30480</xdr:colOff>
      <xdr:row>62</xdr:row>
      <xdr:rowOff>0</xdr:rowOff>
    </xdr:from>
    <xdr:to>
      <xdr:col>6</xdr:col>
      <xdr:colOff>468575</xdr:colOff>
      <xdr:row>73</xdr:row>
      <xdr:rowOff>26415</xdr:rowOff>
    </xdr:to>
    <xdr:pic>
      <xdr:nvPicPr>
        <xdr:cNvPr id="8" name="Grafik 7">
          <a:extLst>
            <a:ext uri="{FF2B5EF4-FFF2-40B4-BE49-F238E27FC236}">
              <a16:creationId xmlns:a16="http://schemas.microsoft.com/office/drawing/2014/main" id="{570FBB4D-867B-464D-B39C-B262B08579C7}"/>
            </a:ext>
          </a:extLst>
        </xdr:cNvPr>
        <xdr:cNvPicPr>
          <a:picLocks noChangeAspect="1"/>
        </xdr:cNvPicPr>
      </xdr:nvPicPr>
      <xdr:blipFill>
        <a:blip xmlns:r="http://schemas.openxmlformats.org/officeDocument/2006/relationships" r:embed="rId3"/>
        <a:stretch>
          <a:fillRect/>
        </a:stretch>
      </xdr:blipFill>
      <xdr:spPr>
        <a:xfrm>
          <a:off x="2872740" y="8100060"/>
          <a:ext cx="438095" cy="2038095"/>
        </a:xfrm>
        <a:prstGeom prst="rect">
          <a:avLst/>
        </a:prstGeom>
      </xdr:spPr>
    </xdr:pic>
    <xdr:clientData/>
  </xdr:twoCellAnchor>
  <xdr:twoCellAnchor editAs="oneCell">
    <xdr:from>
      <xdr:col>7</xdr:col>
      <xdr:colOff>30480</xdr:colOff>
      <xdr:row>61</xdr:row>
      <xdr:rowOff>358140</xdr:rowOff>
    </xdr:from>
    <xdr:to>
      <xdr:col>7</xdr:col>
      <xdr:colOff>449528</xdr:colOff>
      <xdr:row>73</xdr:row>
      <xdr:rowOff>37843</xdr:rowOff>
    </xdr:to>
    <xdr:pic>
      <xdr:nvPicPr>
        <xdr:cNvPr id="9" name="Grafik 8">
          <a:extLst>
            <a:ext uri="{FF2B5EF4-FFF2-40B4-BE49-F238E27FC236}">
              <a16:creationId xmlns:a16="http://schemas.microsoft.com/office/drawing/2014/main" id="{8FADDABD-BC44-4222-8120-B8FDB724827A}"/>
            </a:ext>
          </a:extLst>
        </xdr:cNvPr>
        <xdr:cNvPicPr>
          <a:picLocks noChangeAspect="1"/>
        </xdr:cNvPicPr>
      </xdr:nvPicPr>
      <xdr:blipFill>
        <a:blip xmlns:r="http://schemas.openxmlformats.org/officeDocument/2006/relationships" r:embed="rId4"/>
        <a:stretch>
          <a:fillRect/>
        </a:stretch>
      </xdr:blipFill>
      <xdr:spPr>
        <a:xfrm>
          <a:off x="3383280" y="8092440"/>
          <a:ext cx="419048" cy="205714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793E6F0C-41B3-4FD6-9904-17C634890A46}"/>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45720</xdr:colOff>
      <xdr:row>50</xdr:row>
      <xdr:rowOff>15240</xdr:rowOff>
    </xdr:from>
    <xdr:to>
      <xdr:col>4</xdr:col>
      <xdr:colOff>474291</xdr:colOff>
      <xdr:row>61</xdr:row>
      <xdr:rowOff>51179</xdr:rowOff>
    </xdr:to>
    <xdr:pic>
      <xdr:nvPicPr>
        <xdr:cNvPr id="3" name="Grafik 2">
          <a:extLst>
            <a:ext uri="{FF2B5EF4-FFF2-40B4-BE49-F238E27FC236}">
              <a16:creationId xmlns:a16="http://schemas.microsoft.com/office/drawing/2014/main" id="{6590FB7B-F7E2-4607-BD27-06A2DCB20A83}"/>
            </a:ext>
          </a:extLst>
        </xdr:cNvPr>
        <xdr:cNvPicPr>
          <a:picLocks noChangeAspect="1"/>
        </xdr:cNvPicPr>
      </xdr:nvPicPr>
      <xdr:blipFill>
        <a:blip xmlns:r="http://schemas.openxmlformats.org/officeDocument/2006/relationships" r:embed="rId1"/>
        <a:stretch>
          <a:fillRect/>
        </a:stretch>
      </xdr:blipFill>
      <xdr:spPr>
        <a:xfrm>
          <a:off x="1866900" y="5920740"/>
          <a:ext cx="428571" cy="2047619"/>
        </a:xfrm>
        <a:prstGeom prst="rect">
          <a:avLst/>
        </a:prstGeom>
      </xdr:spPr>
    </xdr:pic>
    <xdr:clientData/>
  </xdr:twoCellAnchor>
  <xdr:twoCellAnchor editAs="oneCell">
    <xdr:from>
      <xdr:col>5</xdr:col>
      <xdr:colOff>30480</xdr:colOff>
      <xdr:row>50</xdr:row>
      <xdr:rowOff>15240</xdr:rowOff>
    </xdr:from>
    <xdr:to>
      <xdr:col>5</xdr:col>
      <xdr:colOff>459051</xdr:colOff>
      <xdr:row>61</xdr:row>
      <xdr:rowOff>41655</xdr:rowOff>
    </xdr:to>
    <xdr:pic>
      <xdr:nvPicPr>
        <xdr:cNvPr id="4" name="Grafik 3">
          <a:extLst>
            <a:ext uri="{FF2B5EF4-FFF2-40B4-BE49-F238E27FC236}">
              <a16:creationId xmlns:a16="http://schemas.microsoft.com/office/drawing/2014/main" id="{5F404DA6-1DBE-45A6-BE4D-650FE3514616}"/>
            </a:ext>
          </a:extLst>
        </xdr:cNvPr>
        <xdr:cNvPicPr>
          <a:picLocks noChangeAspect="1"/>
        </xdr:cNvPicPr>
      </xdr:nvPicPr>
      <xdr:blipFill>
        <a:blip xmlns:r="http://schemas.openxmlformats.org/officeDocument/2006/relationships" r:embed="rId2"/>
        <a:stretch>
          <a:fillRect/>
        </a:stretch>
      </xdr:blipFill>
      <xdr:spPr>
        <a:xfrm>
          <a:off x="2362200" y="5920740"/>
          <a:ext cx="428571" cy="2038095"/>
        </a:xfrm>
        <a:prstGeom prst="rect">
          <a:avLst/>
        </a:prstGeom>
      </xdr:spPr>
    </xdr:pic>
    <xdr:clientData/>
  </xdr:twoCellAnchor>
  <xdr:twoCellAnchor editAs="oneCell">
    <xdr:from>
      <xdr:col>6</xdr:col>
      <xdr:colOff>22860</xdr:colOff>
      <xdr:row>50</xdr:row>
      <xdr:rowOff>15240</xdr:rowOff>
    </xdr:from>
    <xdr:to>
      <xdr:col>6</xdr:col>
      <xdr:colOff>460955</xdr:colOff>
      <xdr:row>61</xdr:row>
      <xdr:rowOff>41655</xdr:rowOff>
    </xdr:to>
    <xdr:pic>
      <xdr:nvPicPr>
        <xdr:cNvPr id="5" name="Grafik 4">
          <a:extLst>
            <a:ext uri="{FF2B5EF4-FFF2-40B4-BE49-F238E27FC236}">
              <a16:creationId xmlns:a16="http://schemas.microsoft.com/office/drawing/2014/main" id="{DAA851C7-F6ED-4A2C-8B18-EF65B1AB828B}"/>
            </a:ext>
          </a:extLst>
        </xdr:cNvPr>
        <xdr:cNvPicPr>
          <a:picLocks noChangeAspect="1"/>
        </xdr:cNvPicPr>
      </xdr:nvPicPr>
      <xdr:blipFill>
        <a:blip xmlns:r="http://schemas.openxmlformats.org/officeDocument/2006/relationships" r:embed="rId3"/>
        <a:stretch>
          <a:fillRect/>
        </a:stretch>
      </xdr:blipFill>
      <xdr:spPr>
        <a:xfrm>
          <a:off x="2865120" y="5920740"/>
          <a:ext cx="438095" cy="2038095"/>
        </a:xfrm>
        <a:prstGeom prst="rect">
          <a:avLst/>
        </a:prstGeom>
      </xdr:spPr>
    </xdr:pic>
    <xdr:clientData/>
  </xdr:twoCellAnchor>
  <xdr:twoCellAnchor editAs="oneCell">
    <xdr:from>
      <xdr:col>7</xdr:col>
      <xdr:colOff>22860</xdr:colOff>
      <xdr:row>50</xdr:row>
      <xdr:rowOff>15240</xdr:rowOff>
    </xdr:from>
    <xdr:to>
      <xdr:col>7</xdr:col>
      <xdr:colOff>441908</xdr:colOff>
      <xdr:row>61</xdr:row>
      <xdr:rowOff>60703</xdr:rowOff>
    </xdr:to>
    <xdr:pic>
      <xdr:nvPicPr>
        <xdr:cNvPr id="6" name="Grafik 5">
          <a:extLst>
            <a:ext uri="{FF2B5EF4-FFF2-40B4-BE49-F238E27FC236}">
              <a16:creationId xmlns:a16="http://schemas.microsoft.com/office/drawing/2014/main" id="{7823821D-F939-4C1B-B09F-C187AAAFEB3C}"/>
            </a:ext>
          </a:extLst>
        </xdr:cNvPr>
        <xdr:cNvPicPr>
          <a:picLocks noChangeAspect="1"/>
        </xdr:cNvPicPr>
      </xdr:nvPicPr>
      <xdr:blipFill>
        <a:blip xmlns:r="http://schemas.openxmlformats.org/officeDocument/2006/relationships" r:embed="rId4"/>
        <a:stretch>
          <a:fillRect/>
        </a:stretch>
      </xdr:blipFill>
      <xdr:spPr>
        <a:xfrm>
          <a:off x="3375660" y="5920740"/>
          <a:ext cx="419048" cy="205714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2E7576C7-9FCE-4D4C-9856-2BCE8B27D7AB}"/>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38100</xdr:colOff>
      <xdr:row>53</xdr:row>
      <xdr:rowOff>144780</xdr:rowOff>
    </xdr:from>
    <xdr:to>
      <xdr:col>4</xdr:col>
      <xdr:colOff>419100</xdr:colOff>
      <xdr:row>64</xdr:row>
      <xdr:rowOff>133350</xdr:rowOff>
    </xdr:to>
    <xdr:pic>
      <xdr:nvPicPr>
        <xdr:cNvPr id="3" name="Grafik 2">
          <a:extLst>
            <a:ext uri="{FF2B5EF4-FFF2-40B4-BE49-F238E27FC236}">
              <a16:creationId xmlns:a16="http://schemas.microsoft.com/office/drawing/2014/main" id="{449D537D-CC98-4DCF-A125-7E2C5609F9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859280" y="6416040"/>
          <a:ext cx="381000" cy="2000250"/>
        </a:xfrm>
        <a:prstGeom prst="rect">
          <a:avLst/>
        </a:prstGeom>
      </xdr:spPr>
    </xdr:pic>
    <xdr:clientData/>
  </xdr:twoCellAnchor>
  <xdr:twoCellAnchor editAs="oneCell">
    <xdr:from>
      <xdr:col>5</xdr:col>
      <xdr:colOff>49530</xdr:colOff>
      <xdr:row>53</xdr:row>
      <xdr:rowOff>144780</xdr:rowOff>
    </xdr:from>
    <xdr:to>
      <xdr:col>5</xdr:col>
      <xdr:colOff>430530</xdr:colOff>
      <xdr:row>64</xdr:row>
      <xdr:rowOff>142875</xdr:rowOff>
    </xdr:to>
    <xdr:pic>
      <xdr:nvPicPr>
        <xdr:cNvPr id="4" name="Grafik 3">
          <a:extLst>
            <a:ext uri="{FF2B5EF4-FFF2-40B4-BE49-F238E27FC236}">
              <a16:creationId xmlns:a16="http://schemas.microsoft.com/office/drawing/2014/main" id="{F2536C9A-E4AE-4904-88B6-57906742FA3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2381250" y="6416040"/>
          <a:ext cx="381000" cy="2009775"/>
        </a:xfrm>
        <a:prstGeom prst="rect">
          <a:avLst/>
        </a:prstGeom>
      </xdr:spPr>
    </xdr:pic>
    <xdr:clientData/>
  </xdr:twoCellAnchor>
  <xdr:twoCellAnchor editAs="oneCell">
    <xdr:from>
      <xdr:col>6</xdr:col>
      <xdr:colOff>60960</xdr:colOff>
      <xdr:row>53</xdr:row>
      <xdr:rowOff>144780</xdr:rowOff>
    </xdr:from>
    <xdr:to>
      <xdr:col>6</xdr:col>
      <xdr:colOff>441960</xdr:colOff>
      <xdr:row>64</xdr:row>
      <xdr:rowOff>133350</xdr:rowOff>
    </xdr:to>
    <xdr:pic>
      <xdr:nvPicPr>
        <xdr:cNvPr id="5" name="Grafik 4">
          <a:extLst>
            <a:ext uri="{FF2B5EF4-FFF2-40B4-BE49-F238E27FC236}">
              <a16:creationId xmlns:a16="http://schemas.microsoft.com/office/drawing/2014/main" id="{04C3CA32-F416-4A40-B56E-E3C75651132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a:ext>
          </a:extLst>
        </a:blip>
        <a:stretch>
          <a:fillRect/>
        </a:stretch>
      </xdr:blipFill>
      <xdr:spPr>
        <a:xfrm>
          <a:off x="2903220" y="6416040"/>
          <a:ext cx="381000" cy="20002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ACB99A1A-1E63-49B6-9159-3287F4B28E66}"/>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38100</xdr:colOff>
      <xdr:row>47</xdr:row>
      <xdr:rowOff>53340</xdr:rowOff>
    </xdr:from>
    <xdr:to>
      <xdr:col>4</xdr:col>
      <xdr:colOff>419100</xdr:colOff>
      <xdr:row>58</xdr:row>
      <xdr:rowOff>41910</xdr:rowOff>
    </xdr:to>
    <xdr:pic>
      <xdr:nvPicPr>
        <xdr:cNvPr id="4" name="Grafik 3">
          <a:extLst>
            <a:ext uri="{FF2B5EF4-FFF2-40B4-BE49-F238E27FC236}">
              <a16:creationId xmlns:a16="http://schemas.microsoft.com/office/drawing/2014/main" id="{C15BB685-3DF0-4394-B716-90E1DFBB22A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859280" y="5227320"/>
          <a:ext cx="381000" cy="2000250"/>
        </a:xfrm>
        <a:prstGeom prst="rect">
          <a:avLst/>
        </a:prstGeom>
      </xdr:spPr>
    </xdr:pic>
    <xdr:clientData/>
  </xdr:twoCellAnchor>
  <xdr:twoCellAnchor editAs="oneCell">
    <xdr:from>
      <xdr:col>5</xdr:col>
      <xdr:colOff>49530</xdr:colOff>
      <xdr:row>47</xdr:row>
      <xdr:rowOff>53340</xdr:rowOff>
    </xdr:from>
    <xdr:to>
      <xdr:col>5</xdr:col>
      <xdr:colOff>430530</xdr:colOff>
      <xdr:row>58</xdr:row>
      <xdr:rowOff>51435</xdr:rowOff>
    </xdr:to>
    <xdr:pic>
      <xdr:nvPicPr>
        <xdr:cNvPr id="5" name="Grafik 4">
          <a:extLst>
            <a:ext uri="{FF2B5EF4-FFF2-40B4-BE49-F238E27FC236}">
              <a16:creationId xmlns:a16="http://schemas.microsoft.com/office/drawing/2014/main" id="{A303A4AE-9F85-48A1-B6A4-2211D3FF98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2381250" y="5227320"/>
          <a:ext cx="381000" cy="2009775"/>
        </a:xfrm>
        <a:prstGeom prst="rect">
          <a:avLst/>
        </a:prstGeom>
      </xdr:spPr>
    </xdr:pic>
    <xdr:clientData/>
  </xdr:twoCellAnchor>
  <xdr:twoCellAnchor editAs="oneCell">
    <xdr:from>
      <xdr:col>6</xdr:col>
      <xdr:colOff>60960</xdr:colOff>
      <xdr:row>47</xdr:row>
      <xdr:rowOff>53340</xdr:rowOff>
    </xdr:from>
    <xdr:to>
      <xdr:col>6</xdr:col>
      <xdr:colOff>441960</xdr:colOff>
      <xdr:row>58</xdr:row>
      <xdr:rowOff>41910</xdr:rowOff>
    </xdr:to>
    <xdr:pic>
      <xdr:nvPicPr>
        <xdr:cNvPr id="6" name="Grafik 5">
          <a:extLst>
            <a:ext uri="{FF2B5EF4-FFF2-40B4-BE49-F238E27FC236}">
              <a16:creationId xmlns:a16="http://schemas.microsoft.com/office/drawing/2014/main" id="{01D249BA-E0A0-4348-8415-FDD0C81BF26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a:ext>
          </a:extLst>
        </a:blip>
        <a:stretch>
          <a:fillRect/>
        </a:stretch>
      </xdr:blipFill>
      <xdr:spPr>
        <a:xfrm>
          <a:off x="2903220" y="5227320"/>
          <a:ext cx="381000" cy="20002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D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20.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E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143"/>
  <sheetViews>
    <sheetView showGridLines="0" workbookViewId="0">
      <selection activeCell="A35" sqref="A35:XFD3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1</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12</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128</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t="s">
        <v>48</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v>1</v>
      </c>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XPatternT20(1,128,SI_LocalVar,12,0,128,0,0,2 Sec,1 Sec,5 Sec,500,500,500,200,200,200,200,200,200,1 Sec,1 Sec,1 Sec,1 Sec,1 Sec,1 Sec,700,500,1,128,1,128,64,0,32,0,16,0,4,8,16,32,0,16,0,8,7,128,3,192,1,224,4,64,2,36,65,146,0,2  ,64,128,1,128,0,63,192,0,0,0,0,2,128,0,0,3,128,0,0,0,64)</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43</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Wechselblinker(LED)                       XPatternT20(LED,128,SI_LocalVar,12,0,128,0,0,2 Sec,1 Sec,5 Sec,500,500,500,200,200,200,200,200,200,1 Sec,1 Sec,1 Sec,1 Sec,1 Sec,1 Sec,700,500,1,128,1,128,64,0,32,0,16,0,4,8,16,32,0,16,0,8,7,128,3,192,1,224,4,64,2,36,65,146,0,2  ,64,128,1,128,0,63,192,0,0,0,0,2,128,0,0,3,128,0,0,0,64)</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Wechselblinker_StCh(LED,StCh)     XPatternT20(LED,StCh+128,SI_LocalVar,12,0,128,0,0,2 Sec,1 Sec,5 Sec,500,500,500,200,200,200,200,200,200,1 Sec,1 Sec,1 Sec,1 Sec,1 Sec,1 Sec,700,500,1,128,1,128,64,0,32,0,16,0,4,8,16,32,0,16,0,8,7,128,3,192,1,224,4,64,2,36,65,146,0,2  ,64,128,1,128,0,63,192,0,0,0,0,2,128,0,0,3,128,0,0,0,64)</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24</v>
      </c>
      <c r="F22" s="25" t="s">
        <v>25</v>
      </c>
      <c r="G22" s="25" t="s">
        <v>147</v>
      </c>
      <c r="H22" s="26">
        <v>500</v>
      </c>
      <c r="I22" s="26">
        <v>500</v>
      </c>
      <c r="J22" s="25">
        <v>500</v>
      </c>
      <c r="K22" s="25">
        <v>200</v>
      </c>
      <c r="L22" s="25">
        <v>200</v>
      </c>
      <c r="M22" s="25">
        <v>200</v>
      </c>
      <c r="N22" s="25">
        <v>200</v>
      </c>
      <c r="O22" s="25">
        <v>200</v>
      </c>
      <c r="P22" s="25">
        <v>200</v>
      </c>
      <c r="Q22" s="25" t="s">
        <v>25</v>
      </c>
      <c r="R22" s="25" t="s">
        <v>25</v>
      </c>
      <c r="S22" s="25" t="s">
        <v>25</v>
      </c>
      <c r="T22" s="25" t="s">
        <v>25</v>
      </c>
      <c r="U22" s="25" t="s">
        <v>25</v>
      </c>
      <c r="V22" s="25" t="s">
        <v>25</v>
      </c>
      <c r="W22" s="27">
        <v>700</v>
      </c>
      <c r="X22" s="27">
        <v>500</v>
      </c>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2 Sec</v>
      </c>
      <c r="F23" s="13" t="str">
        <f t="shared" ref="F23:AJ23" si="0">IF(AND(_xlfn.ISFORMULA(F22),G23=""),"",IF(F22&lt;&gt;"",F22,""))</f>
        <v>1 Sec</v>
      </c>
      <c r="G23" s="13" t="str">
        <f t="shared" si="0"/>
        <v>5 Sec</v>
      </c>
      <c r="H23" s="13">
        <f t="shared" si="0"/>
        <v>500</v>
      </c>
      <c r="I23" s="13">
        <f t="shared" si="0"/>
        <v>500</v>
      </c>
      <c r="J23" s="13">
        <f t="shared" si="0"/>
        <v>500</v>
      </c>
      <c r="K23" s="13">
        <f t="shared" si="0"/>
        <v>200</v>
      </c>
      <c r="L23" s="13">
        <f t="shared" si="0"/>
        <v>200</v>
      </c>
      <c r="M23" s="13">
        <f t="shared" si="0"/>
        <v>200</v>
      </c>
      <c r="N23" s="13">
        <f t="shared" si="0"/>
        <v>200</v>
      </c>
      <c r="O23" s="13">
        <f t="shared" si="0"/>
        <v>200</v>
      </c>
      <c r="P23" s="13">
        <f t="shared" si="0"/>
        <v>200</v>
      </c>
      <c r="Q23" s="13" t="str">
        <f t="shared" si="0"/>
        <v>1 Sec</v>
      </c>
      <c r="R23" s="13" t="str">
        <f t="shared" si="0"/>
        <v>1 Sec</v>
      </c>
      <c r="S23" s="13" t="str">
        <f t="shared" si="0"/>
        <v>1 Sec</v>
      </c>
      <c r="T23" s="13" t="str">
        <f t="shared" si="0"/>
        <v>1 Sec</v>
      </c>
      <c r="U23" s="13" t="str">
        <f t="shared" si="0"/>
        <v>1 Sec</v>
      </c>
      <c r="V23" s="13" t="str">
        <f t="shared" si="0"/>
        <v>1 Sec</v>
      </c>
      <c r="W23" s="13">
        <f t="shared" si="0"/>
        <v>700</v>
      </c>
      <c r="X23" s="13">
        <f t="shared" si="0"/>
        <v>500</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,2 Sec</v>
      </c>
      <c r="F24" s="2" t="str">
        <f t="shared" ref="F24:AJ24" si="1">IF(OR(F23&lt;&gt;"",G24&lt;&gt;""),CONCATENATE(",",IF(F23="","!",F23)),"")</f>
        <v>,1 Sec</v>
      </c>
      <c r="G24" s="2" t="str">
        <f t="shared" si="1"/>
        <v>,5 Sec</v>
      </c>
      <c r="H24" s="2" t="str">
        <f t="shared" si="1"/>
        <v>,500</v>
      </c>
      <c r="I24" s="2" t="str">
        <f t="shared" si="1"/>
        <v>,500</v>
      </c>
      <c r="J24" s="2" t="str">
        <f t="shared" si="1"/>
        <v>,500</v>
      </c>
      <c r="K24" s="2" t="str">
        <f t="shared" si="1"/>
        <v>,200</v>
      </c>
      <c r="L24" s="2" t="str">
        <f t="shared" si="1"/>
        <v>,200</v>
      </c>
      <c r="M24" s="2" t="str">
        <f t="shared" si="1"/>
        <v>,200</v>
      </c>
      <c r="N24" s="2" t="str">
        <f t="shared" si="1"/>
        <v>,200</v>
      </c>
      <c r="O24" s="2" t="str">
        <f t="shared" si="1"/>
        <v>,200</v>
      </c>
      <c r="P24" s="2" t="str">
        <f t="shared" si="1"/>
        <v>,200</v>
      </c>
      <c r="Q24" s="2" t="str">
        <f t="shared" si="1"/>
        <v>,1 Sec</v>
      </c>
      <c r="R24" s="2" t="str">
        <f t="shared" si="1"/>
        <v>,1 Sec</v>
      </c>
      <c r="S24" s="2" t="str">
        <f t="shared" si="1"/>
        <v>,1 Sec</v>
      </c>
      <c r="T24" s="2" t="str">
        <f t="shared" si="1"/>
        <v>,1 Sec</v>
      </c>
      <c r="U24" s="2" t="str">
        <f t="shared" si="1"/>
        <v>,1 Sec</v>
      </c>
      <c r="V24" s="2" t="str">
        <f t="shared" si="1"/>
        <v>,1 Sec</v>
      </c>
      <c r="W24" s="2" t="str">
        <f t="shared" si="1"/>
        <v>,700</v>
      </c>
      <c r="X24" s="2" t="str">
        <f t="shared" si="1"/>
        <v>,500</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,2 Sec,1 Sec,5 Sec,500,500,500,200,200,200,200,200,200,1 Sec,1 Sec,1 Sec,1 Sec,1 Sec,1 Sec,700,500</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XPatternT20(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131</v>
      </c>
      <c r="E29" s="14" t="str">
        <f>IF(Goto_Mode=1,"SI_LocalVar",SchalterNr)</f>
        <v>SI_LocalVar</v>
      </c>
      <c r="G29" s="81" t="s">
        <v>132</v>
      </c>
      <c r="H29" s="2" t="str">
        <f>IF(Goto_Mode=1,"",",InNr")</f>
        <v/>
      </c>
      <c r="I29" s="81" t="s">
        <v>133</v>
      </c>
      <c r="J29" s="14" t="str">
        <f>IF(Goto_Mode=1,"SI_LocalVar","InNr")</f>
        <v>SI_LocalVar</v>
      </c>
      <c r="L29" s="81"/>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128</v>
      </c>
      <c r="F30" s="2" t="str">
        <f>DEC2BIN(E30,8)</f>
        <v>10000000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128</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4:,1,128,1,128,64,0,32,0,16,0,4,8,16,32,0,16,0,8,7,128,3,192,1,224,4,64,2,36,65,146,0,2</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4</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,1,128,1,128,64,0,32,0,16,0,4,8,16,32,0,16,0,8,7,128,3,192,1,224,4,64,2,36,65,146,0,2</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129</v>
      </c>
      <c r="E35" s="14" t="str">
        <f>Calculate_Goto(Kanaele,E12,E41:EV41,E44:EV298)</f>
        <v xml:space="preserve">  ,64,128,1,128,0,63,192,0,0,0,0,2,128,0,0,3,128,0,0,0,64</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12,0,128,0,0,2 Sec,1 Sec,5 Sec,500,500,500,200,200,200,200,200,200,1 Sec,1 Sec,1 Sec,1 Sec,1 Sec,1 Sec,700,500,1,128,1,128,64,0,32,0,16,0,4,8,16,32,0,16,0,8,7,128,3,192,1,224,4,64,2,36,65,146,0,2  ,64,128,1,128,0,63,192,0,0,0,0,2,128,0,0,3,128,0,0,0,64)</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Wechselblinker(LED,NStru,InNr)    XPatternT20(LED,NStru,InNr,12,0,128,0,0,2 Sec,1 Sec,5 Sec,500,500,500,200,200,200,200,200,200,1 Sec,1 Sec,1 Sec,1 Sec,1 Sec,1 Sec,700,500,1,128,1,128,64,0,32,0,16,0,4,8,16,32,0,16,0,8,7,128,3,192,1,224,4,64,2,36,65,146,0,2  ,64,128,1,128,0,63,192,0,0,0,0,2,128,0,0,3,128,0,0,0,64)</v>
      </c>
      <c r="F37" s="2"/>
      <c r="G37" s="2"/>
      <c r="H37" s="2"/>
      <c r="I37" s="2"/>
      <c r="J37" s="2"/>
      <c r="X37" s="2"/>
      <c r="Y37" s="14"/>
      <c r="Z37" s="2"/>
      <c r="AA37" s="2"/>
      <c r="AB37" s="2"/>
    </row>
    <row r="38" spans="1:193" hidden="1" x14ac:dyDescent="0.3">
      <c r="D38" s="17" t="s">
        <v>21</v>
      </c>
      <c r="E38" s="18">
        <v>11</v>
      </c>
      <c r="G38" s="17" t="s">
        <v>20</v>
      </c>
      <c r="H38" s="18">
        <f>2*(32-COUNTIF(E23:AJ23,""))</f>
        <v>40</v>
      </c>
      <c r="J38" s="17" t="s">
        <v>19</v>
      </c>
      <c r="K38" s="18">
        <f>LEN(Pattern_Bytes)-LEN(SUBSTITUTE(Pattern_Bytes,",",))</f>
        <v>32</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21">
        <f>E38+TimerBytes+DataBytes</f>
        <v>83</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70" customFormat="1" ht="12" customHeight="1" x14ac:dyDescent="0.3">
      <c r="A41"/>
      <c r="B41" s="92" t="s">
        <v>157</v>
      </c>
      <c r="C41" s="93"/>
      <c r="D41" s="93"/>
      <c r="E41" s="71" t="s">
        <v>130</v>
      </c>
      <c r="F41" s="72" t="s">
        <v>151</v>
      </c>
      <c r="G41" s="72" t="s">
        <v>141</v>
      </c>
      <c r="H41" s="72" t="s">
        <v>123</v>
      </c>
      <c r="I41" s="72"/>
      <c r="J41" s="72" t="s">
        <v>128</v>
      </c>
      <c r="K41" s="72" t="s">
        <v>140</v>
      </c>
      <c r="L41" s="72"/>
      <c r="M41" s="72"/>
      <c r="N41" s="72"/>
      <c r="O41" s="72"/>
      <c r="P41" s="72" t="s">
        <v>142</v>
      </c>
      <c r="Q41" s="72" t="s">
        <v>123</v>
      </c>
      <c r="R41" s="72"/>
      <c r="S41" s="72"/>
      <c r="T41" s="72" t="s">
        <v>148</v>
      </c>
      <c r="U41" s="72" t="s">
        <v>123</v>
      </c>
      <c r="V41" s="72"/>
      <c r="W41" s="72"/>
      <c r="X41" s="72"/>
      <c r="Y41" s="72" t="s">
        <v>130</v>
      </c>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row>
    <row r="42" spans="1:193" ht="12" customHeight="1" x14ac:dyDescent="0.3">
      <c r="D42" s="5" t="str">
        <f>IF(COUNTA(E44:AJ51)=0,"Bitte Tabelle ausfüllen. Positionen an denen die LEDs leuchten sollen werden mit einem Zeichen (z.B. x) markiert. Bei einer leeren Zellen ist die LED aus.","")</f>
        <v/>
      </c>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row>
    <row r="43" spans="1:193" ht="15" customHeight="1" x14ac:dyDescent="0.3">
      <c r="B43" s="9" t="s">
        <v>8</v>
      </c>
      <c r="C43" s="7"/>
      <c r="D43" s="10" t="s">
        <v>122</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45" t="s">
        <v>44</v>
      </c>
      <c r="E44" s="45" t="s">
        <v>0</v>
      </c>
      <c r="F44" s="45"/>
      <c r="G44" s="45"/>
      <c r="H44" s="82"/>
      <c r="I44" s="82"/>
      <c r="J44" s="82"/>
      <c r="K44" s="83"/>
      <c r="L44" s="83"/>
      <c r="M44" s="83"/>
      <c r="N44" s="83"/>
      <c r="O44" s="83"/>
      <c r="P44" s="83"/>
      <c r="Q44" s="73" t="s">
        <v>0</v>
      </c>
      <c r="R44" s="73"/>
      <c r="S44" s="73"/>
      <c r="T44" s="73"/>
      <c r="U44" s="82"/>
      <c r="V44" s="82"/>
      <c r="W44" s="82"/>
      <c r="X44" s="82"/>
      <c r="Y44" s="73"/>
      <c r="Z44" s="73"/>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45" t="s">
        <v>45</v>
      </c>
      <c r="E45" s="45"/>
      <c r="F45" s="45"/>
      <c r="G45" s="45"/>
      <c r="H45" s="82"/>
      <c r="I45" s="82"/>
      <c r="J45" s="82"/>
      <c r="K45" s="83"/>
      <c r="L45" s="83"/>
      <c r="M45" s="83"/>
      <c r="N45" s="83" t="s">
        <v>0</v>
      </c>
      <c r="O45" s="83"/>
      <c r="P45" s="83"/>
      <c r="Q45" s="73" t="s">
        <v>0</v>
      </c>
      <c r="R45" s="73"/>
      <c r="S45" s="73"/>
      <c r="T45" s="73"/>
      <c r="U45" s="82"/>
      <c r="V45" s="82"/>
      <c r="W45" s="82"/>
      <c r="X45" s="82"/>
      <c r="Y45" s="73"/>
      <c r="Z45" s="73"/>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45" t="s">
        <v>124</v>
      </c>
      <c r="E46" s="45"/>
      <c r="F46" s="45"/>
      <c r="G46" s="45"/>
      <c r="H46" s="82" t="s">
        <v>0</v>
      </c>
      <c r="I46" s="82"/>
      <c r="J46" s="82"/>
      <c r="K46" s="83"/>
      <c r="L46" s="83"/>
      <c r="M46" s="83"/>
      <c r="N46" s="83"/>
      <c r="O46" s="83"/>
      <c r="P46" s="83"/>
      <c r="Q46" s="73" t="s">
        <v>0</v>
      </c>
      <c r="R46" s="73"/>
      <c r="S46" s="73"/>
      <c r="T46" s="73"/>
      <c r="U46" s="82" t="s">
        <v>0</v>
      </c>
      <c r="V46" s="82" t="s">
        <v>0</v>
      </c>
      <c r="W46" s="82" t="s">
        <v>0</v>
      </c>
      <c r="X46" s="82" t="s">
        <v>0</v>
      </c>
      <c r="Y46" s="73" t="s">
        <v>59</v>
      </c>
      <c r="Z46" s="73"/>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66" t="s">
        <v>125</v>
      </c>
      <c r="E47" s="45"/>
      <c r="F47" s="45" t="s">
        <v>0</v>
      </c>
      <c r="G47" s="45"/>
      <c r="H47" s="82"/>
      <c r="I47" s="82"/>
      <c r="J47" s="82"/>
      <c r="K47" s="83"/>
      <c r="L47" s="83"/>
      <c r="M47" s="83"/>
      <c r="N47" s="83"/>
      <c r="O47" s="83"/>
      <c r="P47" s="83"/>
      <c r="Q47" s="73"/>
      <c r="R47" s="73" t="s">
        <v>0</v>
      </c>
      <c r="S47" s="73"/>
      <c r="T47" s="73"/>
      <c r="U47" s="82"/>
      <c r="V47" s="82"/>
      <c r="W47" s="82"/>
      <c r="X47" s="82"/>
      <c r="Y47" s="73"/>
      <c r="Z47" s="73"/>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66" t="s">
        <v>126</v>
      </c>
      <c r="E48" s="45"/>
      <c r="F48" s="45" t="s">
        <v>0</v>
      </c>
      <c r="G48" s="45"/>
      <c r="H48" s="82"/>
      <c r="I48" s="82"/>
      <c r="J48" s="82"/>
      <c r="K48" s="83"/>
      <c r="L48" s="83"/>
      <c r="M48" s="83" t="s">
        <v>0</v>
      </c>
      <c r="N48" s="83"/>
      <c r="O48" s="83" t="s">
        <v>0</v>
      </c>
      <c r="P48" s="83"/>
      <c r="Q48" s="73"/>
      <c r="R48" s="73" t="s">
        <v>0</v>
      </c>
      <c r="S48" s="73"/>
      <c r="T48" s="73"/>
      <c r="U48" s="82"/>
      <c r="V48" s="82"/>
      <c r="W48" s="82"/>
      <c r="X48" s="82"/>
      <c r="Y48" s="73"/>
      <c r="Z48" s="73"/>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66" t="s">
        <v>127</v>
      </c>
      <c r="E49" s="45"/>
      <c r="F49" s="45"/>
      <c r="G49" s="45"/>
      <c r="H49" s="82"/>
      <c r="I49" s="82" t="s">
        <v>0</v>
      </c>
      <c r="J49" s="82"/>
      <c r="K49" s="83"/>
      <c r="L49" s="83"/>
      <c r="M49" s="83"/>
      <c r="N49" s="83"/>
      <c r="O49" s="83"/>
      <c r="P49" s="83"/>
      <c r="Q49" s="73"/>
      <c r="R49" s="73" t="s">
        <v>0</v>
      </c>
      <c r="S49" s="73"/>
      <c r="T49" s="73"/>
      <c r="U49" s="82"/>
      <c r="V49" s="82" t="s">
        <v>0</v>
      </c>
      <c r="W49" s="82" t="s">
        <v>0</v>
      </c>
      <c r="X49" s="82" t="s">
        <v>0</v>
      </c>
      <c r="Y49" s="73"/>
      <c r="Z49" s="73"/>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73" t="s">
        <v>134</v>
      </c>
      <c r="E50" s="45"/>
      <c r="F50" s="45"/>
      <c r="G50" s="45"/>
      <c r="H50" s="82"/>
      <c r="I50" s="82"/>
      <c r="J50" s="82"/>
      <c r="K50" s="83"/>
      <c r="L50" s="83"/>
      <c r="M50" s="83"/>
      <c r="N50" s="83"/>
      <c r="O50" s="83"/>
      <c r="P50" s="83"/>
      <c r="Q50" s="73"/>
      <c r="R50" s="73"/>
      <c r="S50" s="73" t="s">
        <v>0</v>
      </c>
      <c r="T50" s="73"/>
      <c r="U50" s="82"/>
      <c r="V50" s="82"/>
      <c r="W50" s="82"/>
      <c r="X50" s="82"/>
      <c r="Y50" s="73"/>
      <c r="Z50" s="73"/>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73" t="s">
        <v>135</v>
      </c>
      <c r="E51" s="45"/>
      <c r="F51" s="45"/>
      <c r="G51" s="45" t="s">
        <v>0</v>
      </c>
      <c r="H51" s="82"/>
      <c r="I51" s="82"/>
      <c r="J51" s="82"/>
      <c r="K51" s="83"/>
      <c r="L51" s="83" t="s">
        <v>0</v>
      </c>
      <c r="M51" s="83"/>
      <c r="N51" s="83"/>
      <c r="O51" s="83"/>
      <c r="P51" s="83" t="s">
        <v>0</v>
      </c>
      <c r="Q51" s="73"/>
      <c r="R51" s="73"/>
      <c r="S51" s="73" t="s">
        <v>0</v>
      </c>
      <c r="T51" s="73"/>
      <c r="U51" s="82"/>
      <c r="V51" s="82"/>
      <c r="W51" s="82"/>
      <c r="X51" s="82"/>
      <c r="Y51" s="73"/>
      <c r="Z51" s="73"/>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73" t="s">
        <v>136</v>
      </c>
      <c r="E52" s="62"/>
      <c r="F52" s="45"/>
      <c r="G52" s="45"/>
      <c r="H52" s="82"/>
      <c r="I52" s="82"/>
      <c r="J52" s="82" t="s">
        <v>0</v>
      </c>
      <c r="K52" s="83"/>
      <c r="L52" s="83"/>
      <c r="M52" s="83"/>
      <c r="N52" s="83"/>
      <c r="O52" s="83"/>
      <c r="P52" s="83"/>
      <c r="Q52" s="73"/>
      <c r="R52" s="73"/>
      <c r="S52" s="73" t="s">
        <v>0</v>
      </c>
      <c r="T52" s="73"/>
      <c r="U52" s="82"/>
      <c r="V52" s="82"/>
      <c r="W52" s="82" t="s">
        <v>0</v>
      </c>
      <c r="X52" s="82" t="s">
        <v>0</v>
      </c>
      <c r="Y52" s="73"/>
      <c r="Z52" s="73"/>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3" t="s">
        <v>137</v>
      </c>
      <c r="E53" s="45"/>
      <c r="F53" s="45"/>
      <c r="G53" s="45"/>
      <c r="H53" s="82"/>
      <c r="I53" s="82"/>
      <c r="J53" s="82"/>
      <c r="K53" s="83"/>
      <c r="L53" s="83"/>
      <c r="M53" s="83"/>
      <c r="N53" s="83"/>
      <c r="O53" s="83"/>
      <c r="P53" s="83"/>
      <c r="Q53" s="73"/>
      <c r="R53" s="73"/>
      <c r="S53" s="73"/>
      <c r="T53" s="73" t="s">
        <v>0</v>
      </c>
      <c r="U53" s="82"/>
      <c r="V53" s="82"/>
      <c r="W53" s="82"/>
      <c r="X53" s="82"/>
      <c r="Y53" s="73" t="s">
        <v>0</v>
      </c>
      <c r="Z53" s="73"/>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3" t="s">
        <v>138</v>
      </c>
      <c r="E54" s="45"/>
      <c r="F54" s="45"/>
      <c r="G54" s="45"/>
      <c r="H54" s="82"/>
      <c r="I54" s="82"/>
      <c r="J54" s="82"/>
      <c r="K54" s="83" t="s">
        <v>0</v>
      </c>
      <c r="L54" s="83"/>
      <c r="M54" s="83"/>
      <c r="N54" s="83"/>
      <c r="O54" s="83"/>
      <c r="P54" s="83"/>
      <c r="Q54" s="73"/>
      <c r="R54" s="73"/>
      <c r="S54" s="73"/>
      <c r="T54" s="73" t="s">
        <v>0</v>
      </c>
      <c r="U54" s="82"/>
      <c r="V54" s="82"/>
      <c r="W54" s="82"/>
      <c r="X54" s="82"/>
      <c r="Y54" s="73"/>
      <c r="Z54" s="73"/>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3" t="s">
        <v>139</v>
      </c>
      <c r="E55" s="45"/>
      <c r="F55" s="45"/>
      <c r="G55" s="45"/>
      <c r="H55" s="82"/>
      <c r="I55" s="82"/>
      <c r="J55" s="82"/>
      <c r="K55" s="83"/>
      <c r="L55" s="83"/>
      <c r="M55" s="83"/>
      <c r="N55" s="83"/>
      <c r="O55" s="83"/>
      <c r="P55" s="83"/>
      <c r="Q55" s="73"/>
      <c r="R55" s="73"/>
      <c r="S55" s="73"/>
      <c r="T55" s="73" t="s">
        <v>0</v>
      </c>
      <c r="U55" s="82"/>
      <c r="V55" s="82"/>
      <c r="W55" s="82"/>
      <c r="X55" s="82" t="s">
        <v>0</v>
      </c>
      <c r="Y55" s="73"/>
      <c r="Z55" s="73"/>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30"/>
      <c r="E56" s="45"/>
      <c r="F56" s="45"/>
      <c r="G56" s="45"/>
      <c r="H56" s="45"/>
      <c r="I56" s="45"/>
      <c r="J56" s="45" t="s">
        <v>143</v>
      </c>
      <c r="K56" s="45"/>
      <c r="L56" s="45"/>
      <c r="M56" s="45"/>
      <c r="N56" s="45"/>
      <c r="O56" s="45"/>
      <c r="P56" s="45" t="s">
        <v>144</v>
      </c>
      <c r="Q56" s="45"/>
      <c r="R56" s="45"/>
      <c r="S56" s="45"/>
      <c r="T56" s="45" t="s">
        <v>145</v>
      </c>
      <c r="U56" s="45"/>
      <c r="V56" s="45"/>
      <c r="W56" s="45"/>
      <c r="X56" s="45"/>
      <c r="Y56" s="45" t="s">
        <v>150</v>
      </c>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30"/>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30"/>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30"/>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30"/>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30"/>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30"/>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c r="BF63" s="45"/>
      <c r="BG63" s="45"/>
      <c r="BH63" s="45"/>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c r="BF75" s="45"/>
      <c r="BG75" s="45"/>
      <c r="BH75" s="45"/>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45"/>
      <c r="F77" s="45"/>
      <c r="G77" s="45"/>
      <c r="H77" s="45"/>
      <c r="I77" s="94"/>
      <c r="J77" s="9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c r="BF80" s="45"/>
      <c r="BG80" s="45"/>
      <c r="BH80" s="45"/>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link="1"/>
  <mergeCells count="14">
    <mergeCell ref="E6:F6"/>
    <mergeCell ref="E16:F16"/>
    <mergeCell ref="E8:F8"/>
    <mergeCell ref="E12:F12"/>
    <mergeCell ref="E2:F2"/>
    <mergeCell ref="E3:F3"/>
    <mergeCell ref="E4:F4"/>
    <mergeCell ref="E5:F5"/>
    <mergeCell ref="E7:F7"/>
    <mergeCell ref="B41:D41"/>
    <mergeCell ref="I77:J77"/>
    <mergeCell ref="E9:F9"/>
    <mergeCell ref="E10:F10"/>
    <mergeCell ref="E11:F11"/>
  </mergeCells>
  <conditionalFormatting sqref="B44:B153">
    <cfRule type="expression" dxfId="459" priority="10">
      <formula>$E$5&gt;=ROW(B44)-ROW($B$43)</formula>
    </cfRule>
  </conditionalFormatting>
  <conditionalFormatting sqref="B78:BH153 B77:I77 K77:BH77 B44:BH55 B57:BH76 AA56:BH56 B56:Y56">
    <cfRule type="expression" dxfId="458" priority="9">
      <formula>$E$5&gt;=ROW(B44)-ROW($B$43)</formula>
    </cfRule>
  </conditionalFormatting>
  <conditionalFormatting sqref="E40:F41">
    <cfRule type="expression" dxfId="457" priority="1">
      <formula>$E$40&gt;2000</formula>
    </cfRule>
    <cfRule type="expression" dxfId="456" priority="2">
      <formula>$E$40&gt;2000</formula>
    </cfRule>
    <cfRule type="expression" dxfId="455" priority="3">
      <formula>$E$40&gt;2000</formula>
    </cfRule>
    <cfRule type="expression" dxfId="454" priority="4">
      <formula>$E$40&gt;2000</formula>
    </cfRule>
    <cfRule type="expression" dxfId="453" priority="5">
      <formula>$E$40&gt;2000</formula>
    </cfRule>
    <cfRule type="expression" dxfId="452" priority="6">
      <formula>$E$40&gt;2000</formula>
    </cfRule>
    <cfRule type="expression" dxfId="451" priority="7">
      <formula>$E$40&gt;2000</formula>
    </cfRule>
    <cfRule type="expression" dxfId="450" priority="8">
      <formula>$E$40&gt;2000</formula>
    </cfRule>
  </conditionalFormatting>
  <dataValidations count="8">
    <dataValidation type="decimal" allowBlank="1" showErrorMessage="1" errorTitle="Falscher Wert" error="&quot;Bits pro Wert&quot; muss zwischen 1 und 8 liegen" sqref="E6:F6" xr:uid="{00000000-0002-0000-0000-000000000000}">
      <formula1>1</formula1>
      <formula2>8</formula2>
    </dataValidation>
    <dataValidation type="whole" allowBlank="1" showInputMessage="1" showErrorMessage="1" errorTitle="Falscher Wert" error="&quot;Wert Min&quot; muss zwischen 0 und 255 liegen" sqref="E7:F7" xr:uid="{00000000-0002-0000-00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0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000-000005000000}">
      <formula1>0</formula1>
      <formula2>255</formula2>
    </dataValidation>
    <dataValidation type="whole" allowBlank="1" showInputMessage="1" showErrorMessage="1" errorTitle="Falscher Wert" error="&quot;Wert Max&quot; mus zwischen 0 und 255 liegen" sqref="E8:F8" xr:uid="{00000000-0002-0000-0000-000006000000}">
      <formula1>0</formula1>
      <formula2>255</formula2>
    </dataValidation>
    <dataValidation type="whole" allowBlank="1" showInputMessage="1" showErrorMessage="1" errorTitle="Falscher Wert" error="Die Anzahl der Ausgabekanäle muss zwischen 1 und 765 liegen" sqref="E5:F5" xr:uid="{00000000-0002-0000-0000-000007000000}">
      <formula1>1</formula1>
      <formula2>765</formula2>
    </dataValidation>
  </dataValidations>
  <pageMargins left="0.7" right="0.7" top="0.78740157499999996" bottom="0.78740157499999996" header="0.3" footer="0.3"/>
  <pageSetup paperSize="9" orientation="portrait" horizontalDpi="300" r:id="rId1"/>
  <ignoredErrors>
    <ignoredError sqref="E35"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30998-621D-44B6-89B7-F69242F03034}">
  <sheetPr codeName="Tabelle30"/>
  <dimension ref="A1:GM143"/>
  <sheetViews>
    <sheetView showGridLines="0" workbookViewId="0">
      <selection activeCell="A23" sqref="A23:XFD39"/>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2</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8</v>
      </c>
      <c r="F6" s="96"/>
      <c r="G6" t="str">
        <f>CONCATENATE("  =&gt; ",2^Bits_pro_Wert," Helligheitsstufen (0..",2^Bits_pro_Wert-1,")")</f>
        <v xml:space="preserve">  =&gt; 256 Helligheitsstufen (0..255)</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v>0</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v>1</v>
      </c>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PatternT1(0,28,SI_LocalVar,2,0,255,0,0,200 ms,0,0,255,0,134,0,70,0,49,0,0,255,0,134,0,70,0,49,0,37,0,29,0,25,0,22,0,17,0,11,0,0  ,1,129,129,129,129,129,129,129,129,129,129,129,129,129,129,127)</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153</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LocalVar_Sound(LED)                       PatternT1(LED,28,SI_LocalVar,2,0,255,0,0,200 ms,0,0,255,0,134,0,70,0,49,0,0,255,0,134,0,70,0,49,0,37,0,29,0,25,0,22,0,17,0,11,0,0  ,1,129,129,129,129,129,129,129,129,129,129,129,129,129,129,127)</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LocalVar_Sound_StCh(LED,StCh)     PatternT1(LED,StCh+28,SI_LocalVar,2,0,255,0,0,200 ms,0,0,255,0,134,0,70,0,49,0,0,255,0,134,0,70,0,49,0,37,0,29,0,25,0,22,0,17,0,11,0,0  ,1,129,129,129,129,129,129,129,129,129,129,129,129,129,129,127)</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63</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200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,200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,200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131</v>
      </c>
      <c r="E29" s="14" t="str">
        <f>IF(Goto_Mode=1,"SI_LocalVar",SchalterNr)</f>
        <v>SI_LocalVar</v>
      </c>
      <c r="G29" s="81" t="s">
        <v>132</v>
      </c>
      <c r="H29" s="2" t="str">
        <f>IF(Goto_Mode=1,"",",InNr")</f>
        <v/>
      </c>
      <c r="I29" s="81" t="s">
        <v>133</v>
      </c>
      <c r="J29" s="14" t="str">
        <f>IF(Goto_Mode=1,"SI_LocalVar","InNr")</f>
        <v>SI_LocalVar</v>
      </c>
      <c r="L29" s="81"/>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28</v>
      </c>
      <c r="F30" s="2" t="str">
        <f>DEC2BIN(E30,8)</f>
        <v>00011100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28</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0:,0,0,255,0,134,0,70,0,49,0,0,255,0,134,0,70,0,49,0,37,0,29,0,25,0,22,0,17,0,11,0,0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0</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,0,0,255,0,134,0,70,0,49,0,0,255,0,134,0,70,0,49,0,37,0,29,0,25,0,22,0,17,0,11,0,0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129</v>
      </c>
      <c r="E35" s="14" t="str">
        <f>Calculate_Goto(Kanaele,E12,E41:EV41,E44:EV298)</f>
        <v xml:space="preserve">  ,1,129,129,129,129,129,129,129,129,129,129,129,129,129,129,127</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2,0,255,0,0,200 ms,0,0,255,0,134,0,70,0,49,0,0,255,0,134,0,70,0,49,0,37,0,29,0,25,0,22,0,17,0,11,0,0  ,1,129,129,129,129,129,129,129,129,129,129,129,129,129,129,127)</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LocalVar_Sound(LED,NStru,InNr)    PatternT1(LED,NStru,InNr,2,0,255,0,0,200 ms,0,0,255,0,134,0,70,0,49,0,0,255,0,134,0,70,0,49,0,37,0,29,0,25,0,22,0,17,0,11,0,0  ,1,129,129,129,129,129,129,129,129,129,129,129,129,129,129,127)</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32</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80">
        <f>E38+TimerBytes+DataBytes</f>
        <v>45</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70" customFormat="1" ht="12" customHeight="1" x14ac:dyDescent="0.3">
      <c r="A41"/>
      <c r="B41" s="92" t="s">
        <v>121</v>
      </c>
      <c r="C41" s="93"/>
      <c r="D41" s="93"/>
      <c r="E41" s="71" t="s">
        <v>141</v>
      </c>
      <c r="F41" s="71" t="s">
        <v>152</v>
      </c>
      <c r="G41" s="71" t="s">
        <v>152</v>
      </c>
      <c r="H41" s="71" t="s">
        <v>152</v>
      </c>
      <c r="I41" s="71" t="s">
        <v>152</v>
      </c>
      <c r="J41" s="71" t="s">
        <v>152</v>
      </c>
      <c r="K41" s="71" t="s">
        <v>152</v>
      </c>
      <c r="L41" s="71" t="s">
        <v>152</v>
      </c>
      <c r="M41" s="71" t="s">
        <v>152</v>
      </c>
      <c r="N41" s="71" t="s">
        <v>152</v>
      </c>
      <c r="O41" s="71" t="s">
        <v>152</v>
      </c>
      <c r="P41" s="71" t="s">
        <v>152</v>
      </c>
      <c r="Q41" s="71" t="s">
        <v>152</v>
      </c>
      <c r="R41" s="71" t="s">
        <v>152</v>
      </c>
      <c r="S41" s="71" t="s">
        <v>152</v>
      </c>
      <c r="T41" s="72" t="s">
        <v>149</v>
      </c>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row>
    <row r="42" spans="1:193" ht="12" customHeight="1" x14ac:dyDescent="0.3">
      <c r="D42" s="5" t="str">
        <f>IF(COUNTA(E44:AJ51)=0,"Bitte Tabelle ausfüllen. Positionen an denen die LEDs leuchten sollen werden mit einem Zeichen (z.B. x) markiert. Bei einer leeren Zellen ist die LED aus.","")</f>
        <v/>
      </c>
      <c r="E42" s="77"/>
      <c r="F42" s="77"/>
      <c r="G42" s="77"/>
      <c r="H42" s="77"/>
      <c r="I42" s="77"/>
      <c r="J42" s="77"/>
      <c r="K42" s="77"/>
      <c r="L42" s="77"/>
      <c r="M42" s="77"/>
      <c r="N42" s="77"/>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row>
    <row r="43" spans="1:193" ht="15" customHeight="1" x14ac:dyDescent="0.3">
      <c r="B43" s="9" t="s">
        <v>8</v>
      </c>
      <c r="C43" s="7"/>
      <c r="D43" s="10" t="s">
        <v>122</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78" t="s">
        <v>154</v>
      </c>
      <c r="E44" s="78"/>
      <c r="F44" s="78">
        <v>255</v>
      </c>
      <c r="G44" s="78">
        <v>134</v>
      </c>
      <c r="H44" s="78">
        <v>70</v>
      </c>
      <c r="I44" s="78">
        <v>49</v>
      </c>
      <c r="J44" s="84"/>
      <c r="K44" s="84"/>
      <c r="L44" s="84"/>
      <c r="M44" s="84"/>
      <c r="N44" s="84"/>
      <c r="O44" s="84"/>
      <c r="P44" s="84"/>
      <c r="Q44" s="84"/>
      <c r="R44" s="84"/>
      <c r="S44" s="84"/>
      <c r="T44" s="84">
        <v>0</v>
      </c>
      <c r="U44" s="84"/>
      <c r="V44" s="84"/>
      <c r="W44" s="84"/>
      <c r="X44" s="84"/>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78" t="s">
        <v>155</v>
      </c>
      <c r="E45" s="78"/>
      <c r="F45" s="78"/>
      <c r="G45" s="78"/>
      <c r="H45" s="78"/>
      <c r="I45" s="84"/>
      <c r="J45" s="78">
        <v>255</v>
      </c>
      <c r="K45" s="78">
        <v>134</v>
      </c>
      <c r="L45" s="78">
        <v>70</v>
      </c>
      <c r="M45" s="78">
        <v>49</v>
      </c>
      <c r="N45" s="78">
        <v>37</v>
      </c>
      <c r="O45" s="78">
        <v>29</v>
      </c>
      <c r="P45" s="78">
        <v>25</v>
      </c>
      <c r="Q45" s="84">
        <v>22</v>
      </c>
      <c r="R45" s="84">
        <v>17</v>
      </c>
      <c r="S45" s="84">
        <v>11</v>
      </c>
      <c r="T45" s="84">
        <v>0</v>
      </c>
      <c r="U45" s="84"/>
      <c r="V45" s="84"/>
      <c r="W45" s="84"/>
      <c r="X45" s="84"/>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78"/>
      <c r="E46" s="78"/>
      <c r="F46" s="78"/>
      <c r="G46" s="78"/>
      <c r="H46" s="84"/>
      <c r="I46" s="84"/>
      <c r="J46" s="84"/>
      <c r="K46" s="84"/>
      <c r="L46" s="84"/>
      <c r="M46" s="84"/>
      <c r="N46" s="84"/>
      <c r="O46" s="84"/>
      <c r="P46" s="84"/>
      <c r="Q46" s="84"/>
      <c r="R46" s="84"/>
      <c r="S46" s="84"/>
      <c r="T46" s="84"/>
      <c r="U46" s="84"/>
      <c r="V46" s="84"/>
      <c r="W46" s="84"/>
      <c r="X46" s="84"/>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78"/>
      <c r="BF46" s="78"/>
      <c r="BG46" s="78"/>
      <c r="BH46" s="78"/>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78"/>
      <c r="E47" s="78"/>
      <c r="F47" s="78"/>
      <c r="G47" s="78"/>
      <c r="H47" s="84"/>
      <c r="I47" s="84"/>
      <c r="J47" s="84"/>
      <c r="K47" s="84"/>
      <c r="L47" s="84"/>
      <c r="M47" s="84"/>
      <c r="N47" s="84"/>
      <c r="O47" s="84"/>
      <c r="P47" s="84"/>
      <c r="Q47" s="84"/>
      <c r="R47" s="84"/>
      <c r="S47" s="84"/>
      <c r="T47" s="84"/>
      <c r="U47" s="84"/>
      <c r="V47" s="84"/>
      <c r="W47" s="84"/>
      <c r="X47" s="84"/>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8"/>
      <c r="AY47" s="78"/>
      <c r="AZ47" s="78"/>
      <c r="BA47" s="78"/>
      <c r="BB47" s="78"/>
      <c r="BC47" s="78"/>
      <c r="BD47" s="78"/>
      <c r="BE47" s="78"/>
      <c r="BF47" s="78"/>
      <c r="BG47" s="78"/>
      <c r="BH47" s="78"/>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78"/>
      <c r="E48" s="78"/>
      <c r="F48" s="78"/>
      <c r="G48" s="78"/>
      <c r="H48" s="84"/>
      <c r="I48" s="84"/>
      <c r="J48" s="84"/>
      <c r="K48" s="84"/>
      <c r="L48" s="84"/>
      <c r="M48" s="84"/>
      <c r="N48" s="84"/>
      <c r="O48" s="84"/>
      <c r="P48" s="84"/>
      <c r="Q48" s="84"/>
      <c r="R48" s="84"/>
      <c r="S48" s="84"/>
      <c r="T48" s="84"/>
      <c r="U48" s="84"/>
      <c r="V48" s="84"/>
      <c r="W48" s="84"/>
      <c r="X48" s="84"/>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8"/>
      <c r="AY48" s="78"/>
      <c r="AZ48" s="78"/>
      <c r="BA48" s="78"/>
      <c r="BB48" s="78"/>
      <c r="BC48" s="78"/>
      <c r="BD48" s="78"/>
      <c r="BE48" s="78"/>
      <c r="BF48" s="78"/>
      <c r="BG48" s="78"/>
      <c r="BH48" s="78"/>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78"/>
      <c r="E49" s="78"/>
      <c r="F49" s="78"/>
      <c r="G49" s="78"/>
      <c r="H49" s="84"/>
      <c r="I49" s="84"/>
      <c r="J49" s="84"/>
      <c r="K49" s="84"/>
      <c r="L49" s="84"/>
      <c r="M49" s="84"/>
      <c r="N49" s="84"/>
      <c r="O49" s="84"/>
      <c r="P49" s="84"/>
      <c r="Q49" s="84"/>
      <c r="R49" s="84"/>
      <c r="S49" s="84"/>
      <c r="T49" s="84"/>
      <c r="U49" s="84"/>
      <c r="V49" s="84"/>
      <c r="W49" s="84"/>
      <c r="X49" s="84"/>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8"/>
      <c r="AY49" s="78"/>
      <c r="AZ49" s="78"/>
      <c r="BA49" s="78"/>
      <c r="BB49" s="78"/>
      <c r="BC49" s="78"/>
      <c r="BD49" s="78"/>
      <c r="BE49" s="78"/>
      <c r="BF49" s="78"/>
      <c r="BG49" s="78"/>
      <c r="BH49" s="78"/>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78"/>
      <c r="E50" s="78"/>
      <c r="F50" s="78"/>
      <c r="G50" s="78"/>
      <c r="H50" s="84"/>
      <c r="I50" s="84"/>
      <c r="J50" s="84"/>
      <c r="K50" s="84"/>
      <c r="L50" s="84"/>
      <c r="M50" s="84"/>
      <c r="N50" s="84"/>
      <c r="O50" s="84"/>
      <c r="P50" s="84"/>
      <c r="Q50" s="84"/>
      <c r="R50" s="84"/>
      <c r="S50" s="84"/>
      <c r="T50" s="84"/>
      <c r="U50" s="84"/>
      <c r="V50" s="84"/>
      <c r="W50" s="84"/>
      <c r="X50" s="84"/>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78"/>
      <c r="E51" s="78"/>
      <c r="F51" s="78"/>
      <c r="G51" s="78"/>
      <c r="H51" s="84"/>
      <c r="I51" s="84"/>
      <c r="J51" s="84"/>
      <c r="K51" s="84"/>
      <c r="L51" s="84"/>
      <c r="M51" s="84"/>
      <c r="N51" s="84"/>
      <c r="O51" s="84"/>
      <c r="P51" s="84"/>
      <c r="Q51" s="84"/>
      <c r="R51" s="84"/>
      <c r="S51" s="84"/>
      <c r="T51" s="84"/>
      <c r="U51" s="84"/>
      <c r="V51" s="84"/>
      <c r="W51" s="84"/>
      <c r="X51" s="84"/>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78"/>
      <c r="E52" s="62"/>
      <c r="F52" s="78"/>
      <c r="G52" s="78"/>
      <c r="H52" s="84"/>
      <c r="I52" s="84"/>
      <c r="J52" s="84"/>
      <c r="K52" s="84"/>
      <c r="L52" s="84"/>
      <c r="M52" s="84"/>
      <c r="N52" s="84"/>
      <c r="O52" s="84"/>
      <c r="P52" s="84"/>
      <c r="Q52" s="84"/>
      <c r="R52" s="84"/>
      <c r="S52" s="84"/>
      <c r="T52" s="84"/>
      <c r="U52" s="84"/>
      <c r="V52" s="84"/>
      <c r="W52" s="84"/>
      <c r="X52" s="84"/>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8"/>
      <c r="E53" s="78"/>
      <c r="F53" s="78"/>
      <c r="G53" s="78"/>
      <c r="H53" s="84"/>
      <c r="I53" s="84"/>
      <c r="J53" s="84"/>
      <c r="K53" s="84"/>
      <c r="L53" s="84"/>
      <c r="M53" s="84"/>
      <c r="N53" s="84"/>
      <c r="O53" s="84"/>
      <c r="P53" s="84"/>
      <c r="Q53" s="84"/>
      <c r="R53" s="84"/>
      <c r="S53" s="84"/>
      <c r="T53" s="84"/>
      <c r="U53" s="84"/>
      <c r="V53" s="84"/>
      <c r="W53" s="84"/>
      <c r="X53" s="84"/>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8"/>
      <c r="E54" s="78"/>
      <c r="F54" s="78"/>
      <c r="G54" s="78"/>
      <c r="H54" s="84"/>
      <c r="I54" s="84"/>
      <c r="J54" s="84"/>
      <c r="K54" s="84"/>
      <c r="L54" s="84"/>
      <c r="M54" s="84"/>
      <c r="N54" s="84"/>
      <c r="O54" s="84"/>
      <c r="P54" s="84"/>
      <c r="Q54" s="84"/>
      <c r="R54" s="84"/>
      <c r="S54" s="84"/>
      <c r="T54" s="84"/>
      <c r="U54" s="84"/>
      <c r="V54" s="84"/>
      <c r="W54" s="84"/>
      <c r="X54" s="84"/>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8"/>
      <c r="E55" s="78"/>
      <c r="F55" s="78"/>
      <c r="G55" s="78"/>
      <c r="H55" s="84"/>
      <c r="I55" s="84"/>
      <c r="J55" s="84"/>
      <c r="K55" s="84"/>
      <c r="L55" s="84"/>
      <c r="M55" s="84"/>
      <c r="N55" s="84"/>
      <c r="O55" s="84"/>
      <c r="P55" s="84"/>
      <c r="Q55" s="84"/>
      <c r="R55" s="84"/>
      <c r="S55" s="84"/>
      <c r="T55" s="84"/>
      <c r="U55" s="84"/>
      <c r="V55" s="84"/>
      <c r="W55" s="84"/>
      <c r="X55" s="84"/>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79"/>
      <c r="E56" s="78"/>
      <c r="F56" s="78"/>
      <c r="G56" s="78"/>
      <c r="H56" s="78"/>
      <c r="I56" s="78"/>
      <c r="J56" s="78"/>
      <c r="K56" s="78"/>
      <c r="L56" s="78"/>
      <c r="M56" s="78"/>
      <c r="N56" s="78"/>
      <c r="O56" s="78"/>
      <c r="P56" s="78"/>
      <c r="Q56" s="78"/>
      <c r="R56" s="78"/>
      <c r="S56" s="78"/>
      <c r="T56" s="78"/>
      <c r="U56" s="78"/>
      <c r="V56" s="78"/>
      <c r="W56" s="78"/>
      <c r="X56" s="78"/>
      <c r="Y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78"/>
      <c r="AI57" s="78"/>
      <c r="AJ57" s="78"/>
      <c r="AK57" s="78"/>
      <c r="AL57" s="78"/>
      <c r="AM57" s="78"/>
      <c r="AN57" s="78"/>
      <c r="AO57" s="78"/>
      <c r="AP57" s="78"/>
      <c r="AQ57" s="78"/>
      <c r="AR57" s="78"/>
      <c r="AS57" s="78"/>
      <c r="AT57" s="78"/>
      <c r="AU57" s="78"/>
      <c r="AV57" s="78"/>
      <c r="AW57" s="78"/>
      <c r="AX57" s="78"/>
      <c r="AY57" s="78"/>
      <c r="AZ57" s="78"/>
      <c r="BA57" s="78"/>
      <c r="BB57" s="78"/>
      <c r="BC57" s="78"/>
      <c r="BD57" s="78"/>
      <c r="BE57" s="78"/>
      <c r="BF57" s="78"/>
      <c r="BG57" s="78"/>
      <c r="BH57" s="78"/>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79"/>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c r="AW58" s="78"/>
      <c r="AX58" s="78"/>
      <c r="AY58" s="78"/>
      <c r="AZ58" s="78"/>
      <c r="BA58" s="78"/>
      <c r="BB58" s="78"/>
      <c r="BC58" s="78"/>
      <c r="BD58" s="78"/>
      <c r="BE58" s="78"/>
      <c r="BF58" s="78"/>
      <c r="BG58" s="78"/>
      <c r="BH58" s="78"/>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79"/>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c r="AW59" s="78"/>
      <c r="AX59" s="78"/>
      <c r="AY59" s="78"/>
      <c r="AZ59" s="78"/>
      <c r="BA59" s="78"/>
      <c r="BB59" s="78"/>
      <c r="BC59" s="78"/>
      <c r="BD59" s="78"/>
      <c r="BE59" s="78"/>
      <c r="BF59" s="78"/>
      <c r="BG59" s="78"/>
      <c r="BH59" s="78"/>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79"/>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c r="AO60" s="78"/>
      <c r="AP60" s="78"/>
      <c r="AQ60" s="78"/>
      <c r="AR60" s="78"/>
      <c r="AS60" s="78"/>
      <c r="AT60" s="78"/>
      <c r="AU60" s="78"/>
      <c r="AV60" s="78"/>
      <c r="AW60" s="78"/>
      <c r="AX60" s="78"/>
      <c r="AY60" s="78"/>
      <c r="AZ60" s="78"/>
      <c r="BA60" s="78"/>
      <c r="BB60" s="78"/>
      <c r="BC60" s="78"/>
      <c r="BD60" s="78"/>
      <c r="BE60" s="78"/>
      <c r="BF60" s="78"/>
      <c r="BG60" s="78"/>
      <c r="BH60" s="78"/>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79"/>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78"/>
      <c r="AI61" s="78"/>
      <c r="AJ61" s="78"/>
      <c r="AK61" s="78"/>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9"/>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78"/>
      <c r="AI62" s="78"/>
      <c r="AJ62" s="78"/>
      <c r="AK62" s="78"/>
      <c r="AL62" s="78"/>
      <c r="AM62" s="78"/>
      <c r="AN62" s="78"/>
      <c r="AO62" s="78"/>
      <c r="AP62" s="78"/>
      <c r="AQ62" s="78"/>
      <c r="AR62" s="78"/>
      <c r="AS62" s="78"/>
      <c r="AT62" s="78"/>
      <c r="AU62" s="78"/>
      <c r="AV62" s="78"/>
      <c r="AW62" s="78"/>
      <c r="AX62" s="78"/>
      <c r="AY62" s="78"/>
      <c r="AZ62" s="78"/>
      <c r="BA62" s="78"/>
      <c r="BB62" s="78"/>
      <c r="BC62" s="78"/>
      <c r="BD62" s="78"/>
      <c r="BE62" s="78"/>
      <c r="BF62" s="78"/>
      <c r="BG62" s="78"/>
      <c r="BH62" s="78"/>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9"/>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c r="AO63" s="78"/>
      <c r="AP63" s="78"/>
      <c r="AQ63" s="78"/>
      <c r="AR63" s="78"/>
      <c r="AS63" s="78"/>
      <c r="AT63" s="78"/>
      <c r="AU63" s="78"/>
      <c r="AV63" s="78"/>
      <c r="AW63" s="78"/>
      <c r="AX63" s="78"/>
      <c r="AY63" s="78"/>
      <c r="AZ63" s="78"/>
      <c r="BA63" s="78"/>
      <c r="BB63" s="78"/>
      <c r="BC63" s="78"/>
      <c r="BD63" s="78"/>
      <c r="BE63" s="78"/>
      <c r="BF63" s="78"/>
      <c r="BG63" s="78"/>
      <c r="BH63" s="78"/>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c r="AO64" s="78"/>
      <c r="AP64" s="78"/>
      <c r="AQ64" s="78"/>
      <c r="AR64" s="78"/>
      <c r="AS64" s="78"/>
      <c r="AT64" s="78"/>
      <c r="AU64" s="78"/>
      <c r="AV64" s="78"/>
      <c r="AW64" s="78"/>
      <c r="AX64" s="78"/>
      <c r="AY64" s="78"/>
      <c r="AZ64" s="78"/>
      <c r="BA64" s="78"/>
      <c r="BB64" s="78"/>
      <c r="BC64" s="78"/>
      <c r="BD64" s="78"/>
      <c r="BE64" s="78"/>
      <c r="BF64" s="78"/>
      <c r="BG64" s="78"/>
      <c r="BH64" s="78"/>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78"/>
      <c r="AI65" s="78"/>
      <c r="AJ65" s="78"/>
      <c r="AK65" s="78"/>
      <c r="AL65" s="78"/>
      <c r="AM65" s="78"/>
      <c r="AN65" s="78"/>
      <c r="AO65" s="78"/>
      <c r="AP65" s="78"/>
      <c r="AQ65" s="78"/>
      <c r="AR65" s="78"/>
      <c r="AS65" s="78"/>
      <c r="AT65" s="78"/>
      <c r="AU65" s="78"/>
      <c r="AV65" s="78"/>
      <c r="AW65" s="78"/>
      <c r="AX65" s="78"/>
      <c r="AY65" s="78"/>
      <c r="AZ65" s="78"/>
      <c r="BA65" s="78"/>
      <c r="BB65" s="78"/>
      <c r="BC65" s="78"/>
      <c r="BD65" s="78"/>
      <c r="BE65" s="78"/>
      <c r="BF65" s="78"/>
      <c r="BG65" s="78"/>
      <c r="BH65" s="78"/>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78"/>
      <c r="AI66" s="78"/>
      <c r="AJ66" s="78"/>
      <c r="AK66" s="78"/>
      <c r="AL66" s="78"/>
      <c r="AM66" s="78"/>
      <c r="AN66" s="78"/>
      <c r="AO66" s="78"/>
      <c r="AP66" s="78"/>
      <c r="AQ66" s="78"/>
      <c r="AR66" s="78"/>
      <c r="AS66" s="78"/>
      <c r="AT66" s="78"/>
      <c r="AU66" s="78"/>
      <c r="AV66" s="78"/>
      <c r="AW66" s="78"/>
      <c r="AX66" s="78"/>
      <c r="AY66" s="78"/>
      <c r="AZ66" s="78"/>
      <c r="BA66" s="78"/>
      <c r="BB66" s="78"/>
      <c r="BC66" s="78"/>
      <c r="BD66" s="78"/>
      <c r="BE66" s="78"/>
      <c r="BF66" s="78"/>
      <c r="BG66" s="78"/>
      <c r="BH66" s="78"/>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78"/>
      <c r="AI67" s="78"/>
      <c r="AJ67" s="78"/>
      <c r="AK67" s="78"/>
      <c r="AL67" s="78"/>
      <c r="AM67" s="78"/>
      <c r="AN67" s="78"/>
      <c r="AO67" s="78"/>
      <c r="AP67" s="78"/>
      <c r="AQ67" s="78"/>
      <c r="AR67" s="78"/>
      <c r="AS67" s="78"/>
      <c r="AT67" s="78"/>
      <c r="AU67" s="78"/>
      <c r="AV67" s="78"/>
      <c r="AW67" s="78"/>
      <c r="AX67" s="78"/>
      <c r="AY67" s="78"/>
      <c r="AZ67" s="78"/>
      <c r="BA67" s="78"/>
      <c r="BB67" s="78"/>
      <c r="BC67" s="78"/>
      <c r="BD67" s="78"/>
      <c r="BE67" s="78"/>
      <c r="BF67" s="78"/>
      <c r="BG67" s="78"/>
      <c r="BH67" s="78"/>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78"/>
      <c r="AI68" s="78"/>
      <c r="AJ68" s="78"/>
      <c r="AK68" s="78"/>
      <c r="AL68" s="78"/>
      <c r="AM68" s="78"/>
      <c r="AN68" s="78"/>
      <c r="AO68" s="78"/>
      <c r="AP68" s="78"/>
      <c r="AQ68" s="78"/>
      <c r="AR68" s="78"/>
      <c r="AS68" s="78"/>
      <c r="AT68" s="78"/>
      <c r="AU68" s="78"/>
      <c r="AV68" s="78"/>
      <c r="AW68" s="78"/>
      <c r="AX68" s="78"/>
      <c r="AY68" s="78"/>
      <c r="AZ68" s="78"/>
      <c r="BA68" s="78"/>
      <c r="BB68" s="78"/>
      <c r="BC68" s="78"/>
      <c r="BD68" s="78"/>
      <c r="BE68" s="78"/>
      <c r="BF68" s="78"/>
      <c r="BG68" s="78"/>
      <c r="BH68" s="78"/>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c r="AV69" s="78"/>
      <c r="AW69" s="78"/>
      <c r="AX69" s="78"/>
      <c r="AY69" s="78"/>
      <c r="AZ69" s="78"/>
      <c r="BA69" s="78"/>
      <c r="BB69" s="78"/>
      <c r="BC69" s="78"/>
      <c r="BD69" s="78"/>
      <c r="BE69" s="78"/>
      <c r="BF69" s="78"/>
      <c r="BG69" s="78"/>
      <c r="BH69" s="78"/>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78"/>
      <c r="AI70" s="78"/>
      <c r="AJ70" s="78"/>
      <c r="AK70" s="78"/>
      <c r="AL70" s="78"/>
      <c r="AM70" s="78"/>
      <c r="AN70" s="78"/>
      <c r="AO70" s="78"/>
      <c r="AP70" s="78"/>
      <c r="AQ70" s="78"/>
      <c r="AR70" s="78"/>
      <c r="AS70" s="78"/>
      <c r="AT70" s="78"/>
      <c r="AU70" s="78"/>
      <c r="AV70" s="78"/>
      <c r="AW70" s="78"/>
      <c r="AX70" s="78"/>
      <c r="AY70" s="78"/>
      <c r="AZ70" s="78"/>
      <c r="BA70" s="78"/>
      <c r="BB70" s="78"/>
      <c r="BC70" s="78"/>
      <c r="BD70" s="78"/>
      <c r="BE70" s="78"/>
      <c r="BF70" s="78"/>
      <c r="BG70" s="78"/>
      <c r="BH70" s="78"/>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78"/>
      <c r="AI71" s="78"/>
      <c r="AJ71" s="78"/>
      <c r="AK71" s="78"/>
      <c r="AL71" s="78"/>
      <c r="AM71" s="78"/>
      <c r="AN71" s="78"/>
      <c r="AO71" s="78"/>
      <c r="AP71" s="78"/>
      <c r="AQ71" s="78"/>
      <c r="AR71" s="78"/>
      <c r="AS71" s="78"/>
      <c r="AT71" s="78"/>
      <c r="AU71" s="78"/>
      <c r="AV71" s="78"/>
      <c r="AW71" s="78"/>
      <c r="AX71" s="78"/>
      <c r="AY71" s="78"/>
      <c r="AZ71" s="78"/>
      <c r="BA71" s="78"/>
      <c r="BB71" s="78"/>
      <c r="BC71" s="78"/>
      <c r="BD71" s="78"/>
      <c r="BE71" s="78"/>
      <c r="BF71" s="78"/>
      <c r="BG71" s="78"/>
      <c r="BH71" s="78"/>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78"/>
      <c r="AI72" s="78"/>
      <c r="AJ72" s="78"/>
      <c r="AK72" s="78"/>
      <c r="AL72" s="78"/>
      <c r="AM72" s="78"/>
      <c r="AN72" s="78"/>
      <c r="AO72" s="78"/>
      <c r="AP72" s="78"/>
      <c r="AQ72" s="78"/>
      <c r="AR72" s="78"/>
      <c r="AS72" s="78"/>
      <c r="AT72" s="78"/>
      <c r="AU72" s="78"/>
      <c r="AV72" s="78"/>
      <c r="AW72" s="78"/>
      <c r="AX72" s="78"/>
      <c r="AY72" s="78"/>
      <c r="AZ72" s="78"/>
      <c r="BA72" s="78"/>
      <c r="BB72" s="78"/>
      <c r="BC72" s="78"/>
      <c r="BD72" s="78"/>
      <c r="BE72" s="78"/>
      <c r="BF72" s="78"/>
      <c r="BG72" s="78"/>
      <c r="BH72" s="78"/>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8"/>
      <c r="F73" s="78"/>
      <c r="G73" s="78"/>
      <c r="H73" s="78"/>
      <c r="I73" s="78"/>
      <c r="J73" s="78"/>
      <c r="K73" s="78"/>
      <c r="L73" s="78"/>
      <c r="M73" s="78"/>
      <c r="N73" s="78"/>
      <c r="O73" s="78"/>
      <c r="P73" s="78"/>
      <c r="Q73" s="78"/>
      <c r="R73" s="78"/>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8"/>
      <c r="AT73" s="78"/>
      <c r="AU73" s="78"/>
      <c r="AV73" s="78"/>
      <c r="AW73" s="78"/>
      <c r="AX73" s="78"/>
      <c r="AY73" s="78"/>
      <c r="AZ73" s="78"/>
      <c r="BA73" s="78"/>
      <c r="BB73" s="78"/>
      <c r="BC73" s="78"/>
      <c r="BD73" s="78"/>
      <c r="BE73" s="78"/>
      <c r="BF73" s="78"/>
      <c r="BG73" s="78"/>
      <c r="BH73" s="78"/>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8"/>
      <c r="F74" s="78"/>
      <c r="G74" s="78"/>
      <c r="H74" s="78"/>
      <c r="I74" s="78"/>
      <c r="J74" s="78"/>
      <c r="K74" s="78"/>
      <c r="L74" s="78"/>
      <c r="M74" s="78"/>
      <c r="N74" s="78"/>
      <c r="O74" s="78"/>
      <c r="P74" s="78"/>
      <c r="Q74" s="78"/>
      <c r="R74" s="78"/>
      <c r="S74" s="78"/>
      <c r="T74" s="78"/>
      <c r="U74" s="78"/>
      <c r="V74" s="78"/>
      <c r="W74" s="78"/>
      <c r="X74" s="78"/>
      <c r="Y74" s="78"/>
      <c r="Z74" s="78"/>
      <c r="AA74" s="78"/>
      <c r="AB74" s="78"/>
      <c r="AC74" s="78"/>
      <c r="AD74" s="78"/>
      <c r="AE74" s="78"/>
      <c r="AF74" s="78"/>
      <c r="AG74" s="78"/>
      <c r="AH74" s="78"/>
      <c r="AI74" s="78"/>
      <c r="AJ74" s="78"/>
      <c r="AK74" s="78"/>
      <c r="AL74" s="78"/>
      <c r="AM74" s="78"/>
      <c r="AN74" s="78"/>
      <c r="AO74" s="78"/>
      <c r="AP74" s="78"/>
      <c r="AQ74" s="78"/>
      <c r="AR74" s="78"/>
      <c r="AS74" s="78"/>
      <c r="AT74" s="78"/>
      <c r="AU74" s="78"/>
      <c r="AV74" s="78"/>
      <c r="AW74" s="78"/>
      <c r="AX74" s="78"/>
      <c r="AY74" s="78"/>
      <c r="AZ74" s="78"/>
      <c r="BA74" s="78"/>
      <c r="BB74" s="78"/>
      <c r="BC74" s="78"/>
      <c r="BD74" s="78"/>
      <c r="BE74" s="78"/>
      <c r="BF74" s="78"/>
      <c r="BG74" s="78"/>
      <c r="BH74" s="78"/>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8"/>
      <c r="F75" s="78"/>
      <c r="G75" s="78"/>
      <c r="H75" s="78"/>
      <c r="I75" s="78"/>
      <c r="J75" s="78"/>
      <c r="K75" s="78"/>
      <c r="L75" s="78"/>
      <c r="M75" s="78"/>
      <c r="N75" s="78"/>
      <c r="O75" s="78"/>
      <c r="P75" s="78"/>
      <c r="Q75" s="78"/>
      <c r="R75" s="78"/>
      <c r="S75" s="78"/>
      <c r="T75" s="78"/>
      <c r="U75" s="78"/>
      <c r="V75" s="78"/>
      <c r="W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78"/>
      <c r="AV75" s="78"/>
      <c r="AW75" s="78"/>
      <c r="AX75" s="78"/>
      <c r="AY75" s="78"/>
      <c r="AZ75" s="78"/>
      <c r="BA75" s="78"/>
      <c r="BB75" s="78"/>
      <c r="BC75" s="78"/>
      <c r="BD75" s="78"/>
      <c r="BE75" s="78"/>
      <c r="BF75" s="78"/>
      <c r="BG75" s="78"/>
      <c r="BH75" s="78"/>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c r="AW76" s="78"/>
      <c r="AX76" s="78"/>
      <c r="AY76" s="78"/>
      <c r="AZ76" s="78"/>
      <c r="BA76" s="78"/>
      <c r="BB76" s="78"/>
      <c r="BC76" s="78"/>
      <c r="BD76" s="78"/>
      <c r="BE76" s="78"/>
      <c r="BF76" s="78"/>
      <c r="BG76" s="78"/>
      <c r="BH76" s="78"/>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8"/>
      <c r="F77" s="78"/>
      <c r="G77" s="78"/>
      <c r="H77" s="78"/>
      <c r="I77" s="94"/>
      <c r="J77" s="95"/>
      <c r="K77" s="78"/>
      <c r="L77" s="78"/>
      <c r="M77" s="78"/>
      <c r="N77" s="78"/>
      <c r="O77" s="78"/>
      <c r="P77" s="78"/>
      <c r="Q77" s="78"/>
      <c r="R77" s="78"/>
      <c r="S77" s="78"/>
      <c r="T77" s="78"/>
      <c r="U77" s="78"/>
      <c r="V77" s="78"/>
      <c r="W77" s="78"/>
      <c r="X77" s="78"/>
      <c r="Y77" s="78"/>
      <c r="Z77" s="78"/>
      <c r="AA77" s="78"/>
      <c r="AB77" s="78"/>
      <c r="AC77" s="78"/>
      <c r="AD77" s="78"/>
      <c r="AE77" s="78"/>
      <c r="AF77" s="78"/>
      <c r="AG77" s="78"/>
      <c r="AH77" s="78"/>
      <c r="AI77" s="78"/>
      <c r="AJ77" s="78"/>
      <c r="AK77" s="78"/>
      <c r="AL77" s="78"/>
      <c r="AM77" s="78"/>
      <c r="AN77" s="78"/>
      <c r="AO77" s="78"/>
      <c r="AP77" s="78"/>
      <c r="AQ77" s="78"/>
      <c r="AR77" s="78"/>
      <c r="AS77" s="78"/>
      <c r="AT77" s="78"/>
      <c r="AU77" s="78"/>
      <c r="AV77" s="78"/>
      <c r="AW77" s="78"/>
      <c r="AX77" s="78"/>
      <c r="AY77" s="78"/>
      <c r="AZ77" s="78"/>
      <c r="BA77" s="78"/>
      <c r="BB77" s="78"/>
      <c r="BC77" s="78"/>
      <c r="BD77" s="78"/>
      <c r="BE77" s="78"/>
      <c r="BF77" s="78"/>
      <c r="BG77" s="78"/>
      <c r="BH77" s="78"/>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8"/>
      <c r="F78" s="78"/>
      <c r="G78" s="78"/>
      <c r="H78" s="78"/>
      <c r="I78" s="78"/>
      <c r="J78" s="78"/>
      <c r="K78" s="78"/>
      <c r="L78" s="78"/>
      <c r="M78" s="78"/>
      <c r="N78" s="78"/>
      <c r="O78" s="78"/>
      <c r="P78" s="78"/>
      <c r="Q78" s="78"/>
      <c r="R78" s="78"/>
      <c r="S78" s="78"/>
      <c r="T78" s="78"/>
      <c r="U78" s="78"/>
      <c r="V78" s="78"/>
      <c r="W78" s="78"/>
      <c r="X78" s="78"/>
      <c r="Y78" s="78"/>
      <c r="Z78" s="78"/>
      <c r="AA78" s="78"/>
      <c r="AB78" s="78"/>
      <c r="AC78" s="78"/>
      <c r="AD78" s="78"/>
      <c r="AE78" s="78"/>
      <c r="AF78" s="78"/>
      <c r="AG78" s="78"/>
      <c r="AH78" s="78"/>
      <c r="AI78" s="78"/>
      <c r="AJ78" s="78"/>
      <c r="AK78" s="78"/>
      <c r="AL78" s="78"/>
      <c r="AM78" s="78"/>
      <c r="AN78" s="78"/>
      <c r="AO78" s="78"/>
      <c r="AP78" s="78"/>
      <c r="AQ78" s="78"/>
      <c r="AR78" s="78"/>
      <c r="AS78" s="78"/>
      <c r="AT78" s="78"/>
      <c r="AU78" s="78"/>
      <c r="AV78" s="78"/>
      <c r="AW78" s="78"/>
      <c r="AX78" s="78"/>
      <c r="AY78" s="78"/>
      <c r="AZ78" s="78"/>
      <c r="BA78" s="78"/>
      <c r="BB78" s="78"/>
      <c r="BC78" s="78"/>
      <c r="BD78" s="78"/>
      <c r="BE78" s="78"/>
      <c r="BF78" s="78"/>
      <c r="BG78" s="78"/>
      <c r="BH78" s="78"/>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78"/>
      <c r="AF79" s="78"/>
      <c r="AG79" s="78"/>
      <c r="AH79" s="78"/>
      <c r="AI79" s="78"/>
      <c r="AJ79" s="78"/>
      <c r="AK79" s="78"/>
      <c r="AL79" s="78"/>
      <c r="AM79" s="78"/>
      <c r="AN79" s="78"/>
      <c r="AO79" s="78"/>
      <c r="AP79" s="78"/>
      <c r="AQ79" s="78"/>
      <c r="AR79" s="78"/>
      <c r="AS79" s="78"/>
      <c r="AT79" s="78"/>
      <c r="AU79" s="78"/>
      <c r="AV79" s="78"/>
      <c r="AW79" s="78"/>
      <c r="AX79" s="78"/>
      <c r="AY79" s="78"/>
      <c r="AZ79" s="78"/>
      <c r="BA79" s="78"/>
      <c r="BB79" s="78"/>
      <c r="BC79" s="78"/>
      <c r="BD79" s="78"/>
      <c r="BE79" s="78"/>
      <c r="BF79" s="78"/>
      <c r="BG79" s="78"/>
      <c r="BH79" s="78"/>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8"/>
      <c r="F80" s="78"/>
      <c r="G80" s="78"/>
      <c r="H80" s="78"/>
      <c r="I80" s="78"/>
      <c r="J80" s="78"/>
      <c r="K80" s="78"/>
      <c r="L80" s="78"/>
      <c r="M80" s="78"/>
      <c r="N80" s="78"/>
      <c r="O80" s="78"/>
      <c r="P80" s="78"/>
      <c r="Q80" s="78"/>
      <c r="R80" s="78"/>
      <c r="S80" s="78"/>
      <c r="T80" s="78"/>
      <c r="U80" s="78"/>
      <c r="V80" s="78"/>
      <c r="W80" s="78"/>
      <c r="X80" s="78"/>
      <c r="Y80" s="78"/>
      <c r="Z80" s="78"/>
      <c r="AA80" s="78"/>
      <c r="AB80" s="78"/>
      <c r="AC80" s="78"/>
      <c r="AD80" s="78"/>
      <c r="AE80" s="78"/>
      <c r="AF80" s="78"/>
      <c r="AG80" s="78"/>
      <c r="AH80" s="78"/>
      <c r="AI80" s="78"/>
      <c r="AJ80" s="78"/>
      <c r="AK80" s="78"/>
      <c r="AL80" s="78"/>
      <c r="AM80" s="78"/>
      <c r="AN80" s="78"/>
      <c r="AO80" s="78"/>
      <c r="AP80" s="78"/>
      <c r="AQ80" s="78"/>
      <c r="AR80" s="78"/>
      <c r="AS80" s="78"/>
      <c r="AT80" s="78"/>
      <c r="AU80" s="78"/>
      <c r="AV80" s="78"/>
      <c r="AW80" s="78"/>
      <c r="AX80" s="78"/>
      <c r="AY80" s="78"/>
      <c r="AZ80" s="78"/>
      <c r="BA80" s="78"/>
      <c r="BB80" s="78"/>
      <c r="BC80" s="78"/>
      <c r="BD80" s="78"/>
      <c r="BE80" s="78"/>
      <c r="BF80" s="78"/>
      <c r="BG80" s="78"/>
      <c r="BH80" s="78"/>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8"/>
      <c r="F81" s="78"/>
      <c r="G81" s="78"/>
      <c r="H81" s="78"/>
      <c r="I81" s="78"/>
      <c r="J81" s="78"/>
      <c r="K81" s="78"/>
      <c r="L81" s="78"/>
      <c r="M81" s="78"/>
      <c r="N81" s="78"/>
      <c r="O81" s="78"/>
      <c r="P81" s="78"/>
      <c r="Q81" s="78"/>
      <c r="R81" s="78"/>
      <c r="S81" s="78"/>
      <c r="T81" s="78"/>
      <c r="U81" s="78"/>
      <c r="V81" s="78"/>
      <c r="W81" s="78"/>
      <c r="X81" s="78"/>
      <c r="Y81" s="78"/>
      <c r="Z81" s="78"/>
      <c r="AA81" s="78"/>
      <c r="AB81" s="78"/>
      <c r="AC81" s="78"/>
      <c r="AD81" s="78"/>
      <c r="AE81" s="78"/>
      <c r="AF81" s="78"/>
      <c r="AG81" s="78"/>
      <c r="AH81" s="78"/>
      <c r="AI81" s="78"/>
      <c r="AJ81" s="78"/>
      <c r="AK81" s="78"/>
      <c r="AL81" s="78"/>
      <c r="AM81" s="78"/>
      <c r="AN81" s="78"/>
      <c r="AO81" s="78"/>
      <c r="AP81" s="78"/>
      <c r="AQ81" s="78"/>
      <c r="AR81" s="78"/>
      <c r="AS81" s="78"/>
      <c r="AT81" s="78"/>
      <c r="AU81" s="78"/>
      <c r="AV81" s="78"/>
      <c r="AW81" s="78"/>
      <c r="AX81" s="78"/>
      <c r="AY81" s="78"/>
      <c r="AZ81" s="78"/>
      <c r="BA81" s="78"/>
      <c r="BB81" s="78"/>
      <c r="BC81" s="78"/>
      <c r="BD81" s="78"/>
      <c r="BE81" s="78"/>
      <c r="BF81" s="78"/>
      <c r="BG81" s="78"/>
      <c r="BH81" s="78"/>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78"/>
      <c r="AF82" s="78"/>
      <c r="AG82" s="78"/>
      <c r="AH82" s="78"/>
      <c r="AI82" s="78"/>
      <c r="AJ82" s="78"/>
      <c r="AK82" s="78"/>
      <c r="AL82" s="78"/>
      <c r="AM82" s="78"/>
      <c r="AN82" s="78"/>
      <c r="AO82" s="78"/>
      <c r="AP82" s="78"/>
      <c r="AQ82" s="78"/>
      <c r="AR82" s="78"/>
      <c r="AS82" s="78"/>
      <c r="AT82" s="78"/>
      <c r="AU82" s="78"/>
      <c r="AV82" s="78"/>
      <c r="AW82" s="78"/>
      <c r="AX82" s="78"/>
      <c r="AY82" s="78"/>
      <c r="AZ82" s="78"/>
      <c r="BA82" s="78"/>
      <c r="BB82" s="78"/>
      <c r="BC82" s="78"/>
      <c r="BD82" s="78"/>
      <c r="BE82" s="78"/>
      <c r="BF82" s="78"/>
      <c r="BG82" s="78"/>
      <c r="BH82" s="78"/>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8"/>
      <c r="F83" s="78"/>
      <c r="G83" s="78"/>
      <c r="H83" s="78"/>
      <c r="I83" s="78"/>
      <c r="J83" s="78"/>
      <c r="K83" s="78"/>
      <c r="L83" s="78"/>
      <c r="M83" s="78"/>
      <c r="N83" s="78"/>
      <c r="O83" s="78"/>
      <c r="P83" s="78"/>
      <c r="Q83" s="78"/>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c r="AQ83" s="78"/>
      <c r="AR83" s="78"/>
      <c r="AS83" s="78"/>
      <c r="AT83" s="78"/>
      <c r="AU83" s="78"/>
      <c r="AV83" s="78"/>
      <c r="AW83" s="78"/>
      <c r="AX83" s="78"/>
      <c r="AY83" s="78"/>
      <c r="AZ83" s="78"/>
      <c r="BA83" s="78"/>
      <c r="BB83" s="78"/>
      <c r="BC83" s="78"/>
      <c r="BD83" s="78"/>
      <c r="BE83" s="78"/>
      <c r="BF83" s="78"/>
      <c r="BG83" s="78"/>
      <c r="BH83" s="78"/>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link="1"/>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449" priority="18">
      <formula>$E$5&gt;=ROW(B44)-ROW($B$43)</formula>
    </cfRule>
  </conditionalFormatting>
  <conditionalFormatting sqref="B78:BH153 B77:I77 K77:BH77 B57:BH76 AA56:BH56 B56:Y56 B44:BH55">
    <cfRule type="expression" dxfId="448" priority="17">
      <formula>$E$5&gt;=ROW(B44)-ROW($B$43)</formula>
    </cfRule>
  </conditionalFormatting>
  <conditionalFormatting sqref="E40:F40 E41">
    <cfRule type="expression" dxfId="447" priority="9">
      <formula>$E$40&gt;2000</formula>
    </cfRule>
    <cfRule type="expression" dxfId="446" priority="10">
      <formula>$E$40&gt;2000</formula>
    </cfRule>
    <cfRule type="expression" dxfId="445" priority="11">
      <formula>$E$40&gt;2000</formula>
    </cfRule>
    <cfRule type="expression" dxfId="444" priority="12">
      <formula>$E$40&gt;2000</formula>
    </cfRule>
    <cfRule type="expression" dxfId="443" priority="13">
      <formula>$E$40&gt;2000</formula>
    </cfRule>
    <cfRule type="expression" dxfId="442" priority="14">
      <formula>$E$40&gt;2000</formula>
    </cfRule>
    <cfRule type="expression" dxfId="441" priority="15">
      <formula>$E$40&gt;2000</formula>
    </cfRule>
    <cfRule type="expression" dxfId="440" priority="16">
      <formula>$E$40&gt;2000</formula>
    </cfRule>
  </conditionalFormatting>
  <conditionalFormatting sqref="F41:S41">
    <cfRule type="expression" dxfId="439" priority="1">
      <formula>$E$40&gt;2000</formula>
    </cfRule>
    <cfRule type="expression" dxfId="438" priority="2">
      <formula>$E$40&gt;2000</formula>
    </cfRule>
    <cfRule type="expression" dxfId="437" priority="3">
      <formula>$E$40&gt;2000</formula>
    </cfRule>
    <cfRule type="expression" dxfId="436" priority="4">
      <formula>$E$40&gt;2000</formula>
    </cfRule>
    <cfRule type="expression" dxfId="435" priority="5">
      <formula>$E$40&gt;2000</formula>
    </cfRule>
    <cfRule type="expression" dxfId="434" priority="6">
      <formula>$E$40&gt;2000</formula>
    </cfRule>
    <cfRule type="expression" dxfId="433" priority="7">
      <formula>$E$40&gt;2000</formula>
    </cfRule>
    <cfRule type="expression" dxfId="432" priority="8">
      <formula>$E$40&gt;2000</formula>
    </cfRule>
  </conditionalFormatting>
  <dataValidations count="8">
    <dataValidation type="whole" allowBlank="1" showInputMessage="1" showErrorMessage="1" errorTitle="Falscher Wert" error="Die Anzahl der Ausgabekanäle muss zwischen 1 und 765 liegen" sqref="E5:F5" xr:uid="{48F8781F-F2BE-4A67-84DB-0B09F0DA2429}">
      <formula1>1</formula1>
      <formula2>765</formula2>
    </dataValidation>
    <dataValidation type="whole" allowBlank="1" showInputMessage="1" showErrorMessage="1" errorTitle="Falscher Wert" error="&quot;Wert Max&quot; mus zwischen 0 und 255 liegen" sqref="E8:F8" xr:uid="{37D69DDC-86C1-47A9-8BD9-A7A18B7F875C}">
      <formula1>0</formula1>
      <formula2>255</formula2>
    </dataValidation>
    <dataValidation type="whole" allowBlank="1" showInputMessage="1" showErrorMessage="1" errorTitle="Falscher Wert" error="&quot;Wert ausgeschaltet&quot; muss zwischen 0 und 255 liegen." sqref="E9:F9" xr:uid="{C540FDF4-406D-4F95-97CD-B20A751EC834}">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20C72AE8-4EDB-45EE-9CA4-0ADA0B584C1C}">
      <formula1>OR(ISTEXT(E4),AND(IF(ISERROR(ROUND(VALUE(E4),0)),FALSE,ROUND(VALUE(E4),0)=E4),E4&gt;=0,E4&lt;=255))</formula1>
    </dataValidation>
    <dataValidation type="whole" allowBlank="1" showInputMessage="1" showErrorMessage="1" errorTitle="Falscher Wert" error="Der Startkanal muss zwischen 0 und 2 liegen" sqref="E3:F3" xr:uid="{EA7B403C-EAAB-45C6-8195-B0AFF8B13144}">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CDB1AFE2-69D4-4F72-84C8-D0D7A40178A6}">
      <formula1>OR(ISTEXT(E2),AND(IF(ISERROR(ROUND(VALUE(E2),0)),FALSE,ROUND(VALUE(E2),0)=E2),E2&gt;=0,E2&lt;=255))</formula1>
    </dataValidation>
    <dataValidation type="whole" allowBlank="1" showInputMessage="1" showErrorMessage="1" errorTitle="Falscher Wert" error="&quot;Wert Min&quot; muss zwischen 0 und 255 liegen" sqref="E7:F7" xr:uid="{85FA34D6-1A90-4708-887D-3E1437373659}">
      <formula1>0</formula1>
      <formula2>255</formula2>
    </dataValidation>
    <dataValidation type="decimal" allowBlank="1" showErrorMessage="1" errorTitle="Falscher Wert" error="&quot;Bits pro Wert&quot; muss zwischen 1 und 8 liegen" sqref="E6:F6" xr:uid="{7EEE58B0-E0DC-495C-BE51-F06C39E38FDD}">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C29C2-D36C-40A5-B915-2F7B231B2CCE}">
  <sheetPr codeName="Tabelle29"/>
  <dimension ref="A1:GM143"/>
  <sheetViews>
    <sheetView showGridLines="0" topLeftCell="D7" workbookViewId="0">
      <selection activeCell="D35" sqref="A35:XFD3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1</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12</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128</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v>0</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v>1</v>
      </c>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PatternT20(1,128,SI_LocalVar,12,0,128,0,0,2 Sec,1 Sec,5 Sec,500,500,500,200,200,200,200,200,200,1 Sec,1 Sec,1 Sec,1 Sec,1 Sec,1 Sec,700,500,1,128,1,128,64,0,32,0,16,0,4,8,16,32,0,16,0,8,7,128,3,192,1,224,4,64,2,36,65,146,0,0  ,192,0,1,128,0,63,192,0,0,0,0,2,128,0,0,63,128,0,0,0,0)</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43</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Wechselblinker(LED)                       PatternT20(LED,128,SI_LocalVar,12,0,128,0,0,2 Sec,1 Sec,5 Sec,500,500,500,200,200,200,200,200,200,1 Sec,1 Sec,1 Sec,1 Sec,1 Sec,1 Sec,700,500,1,128,1,128,64,0,32,0,16,0,4,8,16,32,0,16,0,8,7,128,3,192,1,224,4,64,2,36,65,146,0,0  ,192,0,1,128,0,63,192,0,0,0,0,2,128,0,0,63,128,0,0,0,0)</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Wechselblinker_StCh(LED,StCh)     PatternT20(LED,StCh+128,SI_LocalVar,12,0,128,0,0,2 Sec,1 Sec,5 Sec,500,500,500,200,200,200,200,200,200,1 Sec,1 Sec,1 Sec,1 Sec,1 Sec,1 Sec,700,500,1,128,1,128,64,0,32,0,16,0,4,8,16,32,0,16,0,8,7,128,3,192,1,224,4,64,2,36,65,146,0,0  ,192,0,1,128,0,63,192,0,0,0,0,2,128,0,0,63,128,0,0,0,0)</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24</v>
      </c>
      <c r="F22" s="25" t="s">
        <v>25</v>
      </c>
      <c r="G22" s="25" t="s">
        <v>147</v>
      </c>
      <c r="H22" s="26">
        <v>500</v>
      </c>
      <c r="I22" s="26">
        <v>500</v>
      </c>
      <c r="J22" s="25">
        <v>500</v>
      </c>
      <c r="K22" s="25">
        <v>200</v>
      </c>
      <c r="L22" s="25">
        <v>200</v>
      </c>
      <c r="M22" s="25">
        <v>200</v>
      </c>
      <c r="N22" s="25">
        <v>200</v>
      </c>
      <c r="O22" s="25">
        <v>200</v>
      </c>
      <c r="P22" s="25">
        <v>200</v>
      </c>
      <c r="Q22" s="25" t="s">
        <v>25</v>
      </c>
      <c r="R22" s="25" t="s">
        <v>25</v>
      </c>
      <c r="S22" s="25" t="s">
        <v>25</v>
      </c>
      <c r="T22" s="25" t="s">
        <v>25</v>
      </c>
      <c r="U22" s="25" t="s">
        <v>25</v>
      </c>
      <c r="V22" s="25" t="s">
        <v>25</v>
      </c>
      <c r="W22" s="27">
        <v>700</v>
      </c>
      <c r="X22" s="27">
        <v>500</v>
      </c>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2 Sec</v>
      </c>
      <c r="F23" s="13" t="str">
        <f t="shared" ref="F23:AJ23" si="0">IF(AND(_xlfn.ISFORMULA(F22),G23=""),"",IF(F22&lt;&gt;"",F22,""))</f>
        <v>1 Sec</v>
      </c>
      <c r="G23" s="13" t="str">
        <f t="shared" si="0"/>
        <v>5 Sec</v>
      </c>
      <c r="H23" s="13">
        <f t="shared" si="0"/>
        <v>500</v>
      </c>
      <c r="I23" s="13">
        <f t="shared" si="0"/>
        <v>500</v>
      </c>
      <c r="J23" s="13">
        <f t="shared" si="0"/>
        <v>500</v>
      </c>
      <c r="K23" s="13">
        <f t="shared" si="0"/>
        <v>200</v>
      </c>
      <c r="L23" s="13">
        <f t="shared" si="0"/>
        <v>200</v>
      </c>
      <c r="M23" s="13">
        <f t="shared" si="0"/>
        <v>200</v>
      </c>
      <c r="N23" s="13">
        <f t="shared" si="0"/>
        <v>200</v>
      </c>
      <c r="O23" s="13">
        <f t="shared" si="0"/>
        <v>200</v>
      </c>
      <c r="P23" s="13">
        <f t="shared" si="0"/>
        <v>200</v>
      </c>
      <c r="Q23" s="13" t="str">
        <f t="shared" si="0"/>
        <v>1 Sec</v>
      </c>
      <c r="R23" s="13" t="str">
        <f t="shared" si="0"/>
        <v>1 Sec</v>
      </c>
      <c r="S23" s="13" t="str">
        <f t="shared" si="0"/>
        <v>1 Sec</v>
      </c>
      <c r="T23" s="13" t="str">
        <f t="shared" si="0"/>
        <v>1 Sec</v>
      </c>
      <c r="U23" s="13" t="str">
        <f t="shared" si="0"/>
        <v>1 Sec</v>
      </c>
      <c r="V23" s="13" t="str">
        <f t="shared" si="0"/>
        <v>1 Sec</v>
      </c>
      <c r="W23" s="13">
        <f t="shared" si="0"/>
        <v>700</v>
      </c>
      <c r="X23" s="13">
        <f t="shared" si="0"/>
        <v>500</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,2 Sec</v>
      </c>
      <c r="F24" s="2" t="str">
        <f t="shared" ref="F24:AJ24" si="1">IF(OR(F23&lt;&gt;"",G24&lt;&gt;""),CONCATENATE(",",IF(F23="","!",F23)),"")</f>
        <v>,1 Sec</v>
      </c>
      <c r="G24" s="2" t="str">
        <f t="shared" si="1"/>
        <v>,5 Sec</v>
      </c>
      <c r="H24" s="2" t="str">
        <f t="shared" si="1"/>
        <v>,500</v>
      </c>
      <c r="I24" s="2" t="str">
        <f t="shared" si="1"/>
        <v>,500</v>
      </c>
      <c r="J24" s="2" t="str">
        <f t="shared" si="1"/>
        <v>,500</v>
      </c>
      <c r="K24" s="2" t="str">
        <f t="shared" si="1"/>
        <v>,200</v>
      </c>
      <c r="L24" s="2" t="str">
        <f t="shared" si="1"/>
        <v>,200</v>
      </c>
      <c r="M24" s="2" t="str">
        <f t="shared" si="1"/>
        <v>,200</v>
      </c>
      <c r="N24" s="2" t="str">
        <f t="shared" si="1"/>
        <v>,200</v>
      </c>
      <c r="O24" s="2" t="str">
        <f t="shared" si="1"/>
        <v>,200</v>
      </c>
      <c r="P24" s="2" t="str">
        <f t="shared" si="1"/>
        <v>,200</v>
      </c>
      <c r="Q24" s="2" t="str">
        <f t="shared" si="1"/>
        <v>,1 Sec</v>
      </c>
      <c r="R24" s="2" t="str">
        <f t="shared" si="1"/>
        <v>,1 Sec</v>
      </c>
      <c r="S24" s="2" t="str">
        <f t="shared" si="1"/>
        <v>,1 Sec</v>
      </c>
      <c r="T24" s="2" t="str">
        <f t="shared" si="1"/>
        <v>,1 Sec</v>
      </c>
      <c r="U24" s="2" t="str">
        <f t="shared" si="1"/>
        <v>,1 Sec</v>
      </c>
      <c r="V24" s="2" t="str">
        <f t="shared" si="1"/>
        <v>,1 Sec</v>
      </c>
      <c r="W24" s="2" t="str">
        <f t="shared" si="1"/>
        <v>,700</v>
      </c>
      <c r="X24" s="2" t="str">
        <f t="shared" si="1"/>
        <v>,500</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,2 Sec,1 Sec,5 Sec,500,500,500,200,200,200,200,200,200,1 Sec,1 Sec,1 Sec,1 Sec,1 Sec,1 Sec,700,500</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PatternT20(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131</v>
      </c>
      <c r="E29" s="14" t="str">
        <f>IF(Goto_Mode=1,"SI_LocalVar",SchalterNr)</f>
        <v>SI_LocalVar</v>
      </c>
      <c r="G29" s="81" t="s">
        <v>132</v>
      </c>
      <c r="H29" s="2" t="str">
        <f>IF(Goto_Mode=1,"",",InNr")</f>
        <v/>
      </c>
      <c r="I29" s="81" t="s">
        <v>133</v>
      </c>
      <c r="J29" s="14" t="str">
        <f>IF(Goto_Mode=1,"SI_LocalVar","InNr")</f>
        <v>SI_LocalVar</v>
      </c>
      <c r="L29" s="81"/>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128</v>
      </c>
      <c r="F30" s="2" t="str">
        <f>DEC2BIN(E30,8)</f>
        <v>10000000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128</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4:,1,128,1,128,64,0,32,0,16,0,4,8,16,32,0,16,0,8,7,128,3,192,1,224,4,64,2,36,65,146,0,0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4</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,1,128,1,128,64,0,32,0,16,0,4,8,16,32,0,16,0,8,7,128,3,192,1,224,4,64,2,36,65,146,0,0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129</v>
      </c>
      <c r="E35" s="14" t="str">
        <f>Calculate_Goto(Kanaele,E12,E41:EV41,E44:EV298)</f>
        <v xml:space="preserve">  ,192,0,1,128,0,63,192,0,0,0,0,2,128,0,0,63,128,0,0,0,0</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12,0,128,0,0,2 Sec,1 Sec,5 Sec,500,500,500,200,200,200,200,200,200,1 Sec,1 Sec,1 Sec,1 Sec,1 Sec,1 Sec,700,500,1,128,1,128,64,0,32,0,16,0,4,8,16,32,0,16,0,8,7,128,3,192,1,224,4,64,2,36,65,146,0,0  ,192,0,1,128,0,63,192,0,0,0,0,2,128,0,0,63,128,0,0,0,0)</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Wechselblinker(LED,NStru,InNr)    PatternT20(LED,NStru,InNr,12,0,128,0,0,2 Sec,1 Sec,5 Sec,500,500,500,200,200,200,200,200,200,1 Sec,1 Sec,1 Sec,1 Sec,1 Sec,1 Sec,700,500,1,128,1,128,64,0,32,0,16,0,4,8,16,32,0,16,0,8,7,128,3,192,1,224,4,64,2,36,65,146,0,0  ,192,0,1,128,0,63,192,0,0,0,0,2,128,0,0,63,128,0,0,0,0)</v>
      </c>
      <c r="F37" s="2"/>
      <c r="G37" s="2"/>
      <c r="H37" s="2"/>
      <c r="I37" s="2"/>
      <c r="J37" s="2"/>
      <c r="X37" s="2"/>
      <c r="Y37" s="14"/>
      <c r="Z37" s="2"/>
      <c r="AA37" s="2"/>
      <c r="AB37" s="2"/>
    </row>
    <row r="38" spans="1:193" hidden="1" x14ac:dyDescent="0.3">
      <c r="D38" s="17" t="s">
        <v>21</v>
      </c>
      <c r="E38" s="18">
        <v>11</v>
      </c>
      <c r="G38" s="17" t="s">
        <v>20</v>
      </c>
      <c r="H38" s="18">
        <f>2*(32-COUNTIF(E23:AJ23,""))</f>
        <v>40</v>
      </c>
      <c r="J38" s="17" t="s">
        <v>19</v>
      </c>
      <c r="K38" s="18">
        <f>LEN(Pattern_Bytes)-LEN(SUBSTITUTE(Pattern_Bytes,",",))</f>
        <v>32</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76">
        <f>E38+TimerBytes+DataBytes</f>
        <v>83</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70" customFormat="1" ht="12" customHeight="1" x14ac:dyDescent="0.3">
      <c r="A41"/>
      <c r="B41" s="92" t="s">
        <v>121</v>
      </c>
      <c r="C41" s="93"/>
      <c r="D41" s="93"/>
      <c r="E41" s="71" t="s">
        <v>140</v>
      </c>
      <c r="F41" s="72"/>
      <c r="G41" s="72" t="s">
        <v>141</v>
      </c>
      <c r="H41" s="72" t="s">
        <v>123</v>
      </c>
      <c r="I41" s="72"/>
      <c r="J41" s="72" t="s">
        <v>128</v>
      </c>
      <c r="K41" s="72" t="s">
        <v>140</v>
      </c>
      <c r="L41" s="72"/>
      <c r="M41" s="72"/>
      <c r="N41" s="72"/>
      <c r="O41" s="72"/>
      <c r="P41" s="72" t="s">
        <v>142</v>
      </c>
      <c r="Q41" s="72" t="s">
        <v>123</v>
      </c>
      <c r="R41" s="72"/>
      <c r="S41" s="72"/>
      <c r="T41" s="72" t="s">
        <v>128</v>
      </c>
      <c r="U41" s="72" t="s">
        <v>123</v>
      </c>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row>
    <row r="42" spans="1:193" ht="12" customHeight="1" x14ac:dyDescent="0.3">
      <c r="D42" s="5" t="str">
        <f>IF(COUNTA(E44:AJ51)=0,"Bitte Tabelle ausfüllen. Positionen an denen die LEDs leuchten sollen werden mit einem Zeichen (z.B. x) markiert. Bei einer leeren Zellen ist die LED aus.","")</f>
        <v/>
      </c>
      <c r="E42" s="74"/>
      <c r="F42" s="74"/>
      <c r="G42" s="74"/>
      <c r="H42" s="74"/>
      <c r="I42" s="74"/>
      <c r="J42" s="74"/>
      <c r="K42" s="74"/>
      <c r="L42" s="74"/>
      <c r="M42" s="74"/>
      <c r="N42" s="74"/>
      <c r="O42" s="74"/>
      <c r="P42" s="74"/>
      <c r="Q42" s="74"/>
      <c r="R42" s="74"/>
      <c r="S42" s="74"/>
      <c r="T42" s="74"/>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74"/>
      <c r="AZ42" s="74"/>
      <c r="BA42" s="74"/>
      <c r="BB42" s="74"/>
      <c r="BC42" s="74"/>
      <c r="BD42" s="74"/>
      <c r="BE42" s="74"/>
      <c r="BF42" s="74"/>
      <c r="BG42" s="74"/>
      <c r="BH42" s="74"/>
    </row>
    <row r="43" spans="1:193" ht="15" customHeight="1" x14ac:dyDescent="0.3">
      <c r="B43" s="9" t="s">
        <v>8</v>
      </c>
      <c r="C43" s="7"/>
      <c r="D43" s="10" t="s">
        <v>122</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73" t="s">
        <v>44</v>
      </c>
      <c r="E44" s="73" t="s">
        <v>0</v>
      </c>
      <c r="F44" s="73"/>
      <c r="G44" s="73"/>
      <c r="H44" s="82"/>
      <c r="I44" s="82"/>
      <c r="J44" s="82"/>
      <c r="K44" s="83"/>
      <c r="L44" s="83"/>
      <c r="M44" s="83"/>
      <c r="N44" s="83"/>
      <c r="O44" s="83"/>
      <c r="P44" s="83"/>
      <c r="Q44" s="73" t="s">
        <v>0</v>
      </c>
      <c r="R44" s="73"/>
      <c r="S44" s="73"/>
      <c r="T44" s="73"/>
      <c r="U44" s="82"/>
      <c r="V44" s="82"/>
      <c r="W44" s="82"/>
      <c r="X44" s="82"/>
      <c r="Y44" s="73"/>
      <c r="Z44" s="73"/>
      <c r="AA44" s="73"/>
      <c r="AB44" s="73"/>
      <c r="AC44" s="73"/>
      <c r="AD44" s="73"/>
      <c r="AE44" s="73"/>
      <c r="AF44" s="73"/>
      <c r="AG44" s="73"/>
      <c r="AH44" s="73"/>
      <c r="AI44" s="73"/>
      <c r="AJ44" s="73"/>
      <c r="AK44" s="73"/>
      <c r="AL44" s="73"/>
      <c r="AM44" s="73"/>
      <c r="AN44" s="73"/>
      <c r="AO44" s="73"/>
      <c r="AP44" s="73"/>
      <c r="AQ44" s="73"/>
      <c r="AR44" s="73"/>
      <c r="AS44" s="73"/>
      <c r="AT44" s="73"/>
      <c r="AU44" s="73"/>
      <c r="AV44" s="73"/>
      <c r="AW44" s="73"/>
      <c r="AX44" s="73"/>
      <c r="AY44" s="73"/>
      <c r="AZ44" s="73"/>
      <c r="BA44" s="73"/>
      <c r="BB44" s="73"/>
      <c r="BC44" s="73"/>
      <c r="BD44" s="73"/>
      <c r="BE44" s="73"/>
      <c r="BF44" s="73"/>
      <c r="BG44" s="73"/>
      <c r="BH44" s="73"/>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73" t="s">
        <v>45</v>
      </c>
      <c r="E45" s="73"/>
      <c r="F45" s="73"/>
      <c r="G45" s="73"/>
      <c r="H45" s="82"/>
      <c r="I45" s="82"/>
      <c r="J45" s="82"/>
      <c r="K45" s="83"/>
      <c r="L45" s="83"/>
      <c r="M45" s="83"/>
      <c r="N45" s="83" t="s">
        <v>0</v>
      </c>
      <c r="O45" s="83"/>
      <c r="P45" s="83"/>
      <c r="Q45" s="73" t="s">
        <v>0</v>
      </c>
      <c r="R45" s="73"/>
      <c r="S45" s="73"/>
      <c r="T45" s="73"/>
      <c r="U45" s="82"/>
      <c r="V45" s="82"/>
      <c r="W45" s="82"/>
      <c r="X45" s="82"/>
      <c r="Y45" s="73"/>
      <c r="Z45" s="73"/>
      <c r="AA45" s="73"/>
      <c r="AB45" s="73"/>
      <c r="AC45" s="73"/>
      <c r="AD45" s="73"/>
      <c r="AE45" s="73"/>
      <c r="AF45" s="73"/>
      <c r="AG45" s="73"/>
      <c r="AH45" s="73"/>
      <c r="AI45" s="73"/>
      <c r="AJ45" s="73"/>
      <c r="AK45" s="73"/>
      <c r="AL45" s="73"/>
      <c r="AM45" s="73"/>
      <c r="AN45" s="73"/>
      <c r="AO45" s="73"/>
      <c r="AP45" s="73"/>
      <c r="AQ45" s="73"/>
      <c r="AR45" s="73"/>
      <c r="AS45" s="73"/>
      <c r="AT45" s="73"/>
      <c r="AU45" s="73"/>
      <c r="AV45" s="73"/>
      <c r="AW45" s="73"/>
      <c r="AX45" s="73"/>
      <c r="AY45" s="73"/>
      <c r="AZ45" s="73"/>
      <c r="BA45" s="73"/>
      <c r="BB45" s="73"/>
      <c r="BC45" s="73"/>
      <c r="BD45" s="73"/>
      <c r="BE45" s="73"/>
      <c r="BF45" s="73"/>
      <c r="BG45" s="73"/>
      <c r="BH45" s="73"/>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73" t="s">
        <v>124</v>
      </c>
      <c r="E46" s="73"/>
      <c r="F46" s="73"/>
      <c r="G46" s="73"/>
      <c r="H46" s="82" t="s">
        <v>0</v>
      </c>
      <c r="I46" s="82"/>
      <c r="J46" s="82"/>
      <c r="K46" s="83"/>
      <c r="L46" s="83"/>
      <c r="M46" s="83"/>
      <c r="N46" s="83"/>
      <c r="O46" s="83"/>
      <c r="P46" s="83"/>
      <c r="Q46" s="73" t="s">
        <v>0</v>
      </c>
      <c r="R46" s="73"/>
      <c r="S46" s="73"/>
      <c r="T46" s="73"/>
      <c r="U46" s="82" t="s">
        <v>0</v>
      </c>
      <c r="V46" s="82" t="s">
        <v>0</v>
      </c>
      <c r="W46" s="82" t="s">
        <v>0</v>
      </c>
      <c r="X46" s="82" t="s">
        <v>0</v>
      </c>
      <c r="Y46" s="73" t="s">
        <v>59</v>
      </c>
      <c r="Z46" s="73"/>
      <c r="AA46" s="73"/>
      <c r="AB46" s="73"/>
      <c r="AC46" s="73"/>
      <c r="AD46" s="73"/>
      <c r="AE46" s="73"/>
      <c r="AF46" s="73"/>
      <c r="AG46" s="73"/>
      <c r="AH46" s="73"/>
      <c r="AI46" s="73"/>
      <c r="AJ46" s="73"/>
      <c r="AK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3"/>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73" t="s">
        <v>125</v>
      </c>
      <c r="E47" s="73"/>
      <c r="F47" s="73" t="s">
        <v>0</v>
      </c>
      <c r="G47" s="73"/>
      <c r="H47" s="82"/>
      <c r="I47" s="82"/>
      <c r="J47" s="82"/>
      <c r="K47" s="83"/>
      <c r="L47" s="83"/>
      <c r="M47" s="83"/>
      <c r="N47" s="83"/>
      <c r="O47" s="83"/>
      <c r="P47" s="83"/>
      <c r="Q47" s="73"/>
      <c r="R47" s="73" t="s">
        <v>0</v>
      </c>
      <c r="S47" s="73"/>
      <c r="T47" s="73"/>
      <c r="U47" s="82"/>
      <c r="V47" s="82"/>
      <c r="W47" s="82"/>
      <c r="X47" s="82"/>
      <c r="Y47" s="73"/>
      <c r="Z47" s="73"/>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73"/>
      <c r="BA47" s="73"/>
      <c r="BB47" s="73"/>
      <c r="BC47" s="73"/>
      <c r="BD47" s="73"/>
      <c r="BE47" s="73"/>
      <c r="BF47" s="73"/>
      <c r="BG47" s="73"/>
      <c r="BH47" s="73"/>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73" t="s">
        <v>126</v>
      </c>
      <c r="E48" s="73"/>
      <c r="F48" s="73" t="s">
        <v>0</v>
      </c>
      <c r="G48" s="73"/>
      <c r="H48" s="82"/>
      <c r="I48" s="82"/>
      <c r="J48" s="82"/>
      <c r="K48" s="83"/>
      <c r="L48" s="83"/>
      <c r="M48" s="83" t="s">
        <v>0</v>
      </c>
      <c r="N48" s="83"/>
      <c r="O48" s="83" t="s">
        <v>0</v>
      </c>
      <c r="P48" s="83"/>
      <c r="Q48" s="73"/>
      <c r="R48" s="73" t="s">
        <v>0</v>
      </c>
      <c r="S48" s="73"/>
      <c r="T48" s="73"/>
      <c r="U48" s="82"/>
      <c r="V48" s="82"/>
      <c r="W48" s="82"/>
      <c r="X48" s="82"/>
      <c r="Y48" s="73"/>
      <c r="Z48" s="73"/>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73"/>
      <c r="BA48" s="73"/>
      <c r="BB48" s="73"/>
      <c r="BC48" s="73"/>
      <c r="BD48" s="73"/>
      <c r="BE48" s="73"/>
      <c r="BF48" s="73"/>
      <c r="BG48" s="73"/>
      <c r="BH48" s="73"/>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73" t="s">
        <v>127</v>
      </c>
      <c r="E49" s="73"/>
      <c r="F49" s="73"/>
      <c r="G49" s="73"/>
      <c r="H49" s="82"/>
      <c r="I49" s="82" t="s">
        <v>0</v>
      </c>
      <c r="J49" s="82"/>
      <c r="K49" s="83"/>
      <c r="L49" s="83"/>
      <c r="M49" s="83"/>
      <c r="N49" s="83"/>
      <c r="O49" s="83"/>
      <c r="P49" s="83"/>
      <c r="Q49" s="73"/>
      <c r="R49" s="73" t="s">
        <v>0</v>
      </c>
      <c r="S49" s="73"/>
      <c r="T49" s="73"/>
      <c r="U49" s="82"/>
      <c r="V49" s="82" t="s">
        <v>0</v>
      </c>
      <c r="W49" s="82" t="s">
        <v>0</v>
      </c>
      <c r="X49" s="82" t="s">
        <v>0</v>
      </c>
      <c r="Y49" s="73"/>
      <c r="Z49" s="73"/>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73"/>
      <c r="BA49" s="73"/>
      <c r="BB49" s="73"/>
      <c r="BC49" s="73"/>
      <c r="BD49" s="73"/>
      <c r="BE49" s="73"/>
      <c r="BF49" s="73"/>
      <c r="BG49" s="73"/>
      <c r="BH49" s="73"/>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73" t="s">
        <v>134</v>
      </c>
      <c r="E50" s="73"/>
      <c r="F50" s="73"/>
      <c r="G50" s="73"/>
      <c r="H50" s="82"/>
      <c r="I50" s="82"/>
      <c r="J50" s="82"/>
      <c r="K50" s="83"/>
      <c r="L50" s="83"/>
      <c r="M50" s="83"/>
      <c r="N50" s="83"/>
      <c r="O50" s="83"/>
      <c r="P50" s="83"/>
      <c r="Q50" s="73"/>
      <c r="R50" s="73"/>
      <c r="S50" s="73" t="s">
        <v>0</v>
      </c>
      <c r="T50" s="73"/>
      <c r="U50" s="82"/>
      <c r="V50" s="82"/>
      <c r="W50" s="82"/>
      <c r="X50" s="82"/>
      <c r="Y50" s="73"/>
      <c r="Z50" s="73"/>
      <c r="AA50" s="73"/>
      <c r="AB50" s="73"/>
      <c r="AC50" s="73"/>
      <c r="AD50" s="73"/>
      <c r="AE50" s="73"/>
      <c r="AF50" s="73"/>
      <c r="AG50" s="73"/>
      <c r="AH50" s="73"/>
      <c r="AI50" s="73"/>
      <c r="AJ50" s="73"/>
      <c r="AK50" s="73"/>
      <c r="AL50" s="73"/>
      <c r="AM50" s="73"/>
      <c r="AN50" s="73"/>
      <c r="AO50" s="73"/>
      <c r="AP50" s="73"/>
      <c r="AQ50" s="73"/>
      <c r="AR50" s="73"/>
      <c r="AS50" s="73"/>
      <c r="AT50" s="73"/>
      <c r="AU50" s="73"/>
      <c r="AV50" s="73"/>
      <c r="AW50" s="73"/>
      <c r="AX50" s="73"/>
      <c r="AY50" s="73"/>
      <c r="AZ50" s="73"/>
      <c r="BA50" s="73"/>
      <c r="BB50" s="73"/>
      <c r="BC50" s="73"/>
      <c r="BD50" s="73"/>
      <c r="BE50" s="73"/>
      <c r="BF50" s="73"/>
      <c r="BG50" s="73"/>
      <c r="BH50" s="73"/>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73" t="s">
        <v>135</v>
      </c>
      <c r="E51" s="73"/>
      <c r="F51" s="73"/>
      <c r="G51" s="73" t="s">
        <v>0</v>
      </c>
      <c r="H51" s="82"/>
      <c r="I51" s="82"/>
      <c r="J51" s="82"/>
      <c r="K51" s="83"/>
      <c r="L51" s="83" t="s">
        <v>0</v>
      </c>
      <c r="M51" s="83"/>
      <c r="N51" s="83"/>
      <c r="O51" s="83"/>
      <c r="P51" s="83" t="s">
        <v>0</v>
      </c>
      <c r="Q51" s="73"/>
      <c r="R51" s="73"/>
      <c r="S51" s="73" t="s">
        <v>0</v>
      </c>
      <c r="T51" s="73"/>
      <c r="U51" s="82"/>
      <c r="V51" s="82"/>
      <c r="W51" s="82"/>
      <c r="X51" s="82"/>
      <c r="Y51" s="73"/>
      <c r="Z51" s="73"/>
      <c r="AA51" s="73"/>
      <c r="AB51" s="73"/>
      <c r="AC51" s="73"/>
      <c r="AD51" s="73"/>
      <c r="AE51" s="73"/>
      <c r="AF51" s="73"/>
      <c r="AG51" s="73"/>
      <c r="AH51" s="73"/>
      <c r="AI51" s="73"/>
      <c r="AJ51" s="73"/>
      <c r="AK51" s="73"/>
      <c r="AL51" s="73"/>
      <c r="AM51" s="73"/>
      <c r="AN51" s="73"/>
      <c r="AO51" s="73"/>
      <c r="AP51" s="73"/>
      <c r="AQ51" s="73"/>
      <c r="AR51" s="73"/>
      <c r="AS51" s="73"/>
      <c r="AT51" s="73"/>
      <c r="AU51" s="73"/>
      <c r="AV51" s="73"/>
      <c r="AW51" s="73"/>
      <c r="AX51" s="73"/>
      <c r="AY51" s="73"/>
      <c r="AZ51" s="73"/>
      <c r="BA51" s="73"/>
      <c r="BB51" s="73"/>
      <c r="BC51" s="73"/>
      <c r="BD51" s="73"/>
      <c r="BE51" s="73"/>
      <c r="BF51" s="73"/>
      <c r="BG51" s="73"/>
      <c r="BH51" s="73"/>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73" t="s">
        <v>136</v>
      </c>
      <c r="E52" s="62"/>
      <c r="F52" s="73"/>
      <c r="G52" s="73"/>
      <c r="H52" s="82"/>
      <c r="I52" s="82"/>
      <c r="J52" s="82" t="s">
        <v>0</v>
      </c>
      <c r="K52" s="83"/>
      <c r="L52" s="83"/>
      <c r="M52" s="83"/>
      <c r="N52" s="83"/>
      <c r="O52" s="83"/>
      <c r="P52" s="83"/>
      <c r="Q52" s="73"/>
      <c r="R52" s="73"/>
      <c r="S52" s="73" t="s">
        <v>0</v>
      </c>
      <c r="T52" s="73"/>
      <c r="U52" s="82"/>
      <c r="V52" s="82"/>
      <c r="W52" s="82" t="s">
        <v>0</v>
      </c>
      <c r="X52" s="82" t="s">
        <v>0</v>
      </c>
      <c r="Y52" s="73"/>
      <c r="Z52" s="73"/>
      <c r="AA52" s="73"/>
      <c r="AB52" s="73"/>
      <c r="AC52" s="73"/>
      <c r="AD52" s="73"/>
      <c r="AE52" s="73"/>
      <c r="AF52" s="73"/>
      <c r="AG52" s="73"/>
      <c r="AH52" s="73"/>
      <c r="AI52" s="73"/>
      <c r="AJ52" s="73"/>
      <c r="AK52" s="73"/>
      <c r="AL52" s="73"/>
      <c r="AM52" s="73"/>
      <c r="AN52" s="73"/>
      <c r="AO52" s="73"/>
      <c r="AP52" s="73"/>
      <c r="AQ52" s="73"/>
      <c r="AR52" s="73"/>
      <c r="AS52" s="73"/>
      <c r="AT52" s="73"/>
      <c r="AU52" s="73"/>
      <c r="AV52" s="73"/>
      <c r="AW52" s="73"/>
      <c r="AX52" s="73"/>
      <c r="AY52" s="73"/>
      <c r="AZ52" s="73"/>
      <c r="BA52" s="73"/>
      <c r="BB52" s="73"/>
      <c r="BC52" s="73"/>
      <c r="BD52" s="73"/>
      <c r="BE52" s="73"/>
      <c r="BF52" s="73"/>
      <c r="BG52" s="73"/>
      <c r="BH52" s="73"/>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3" t="s">
        <v>137</v>
      </c>
      <c r="E53" s="73"/>
      <c r="F53" s="73"/>
      <c r="G53" s="73"/>
      <c r="H53" s="82"/>
      <c r="I53" s="82"/>
      <c r="J53" s="82"/>
      <c r="K53" s="83"/>
      <c r="L53" s="83"/>
      <c r="M53" s="83"/>
      <c r="N53" s="83"/>
      <c r="O53" s="83"/>
      <c r="P53" s="83"/>
      <c r="Q53" s="73"/>
      <c r="R53" s="73"/>
      <c r="S53" s="73"/>
      <c r="T53" s="73" t="s">
        <v>0</v>
      </c>
      <c r="U53" s="82"/>
      <c r="V53" s="82"/>
      <c r="W53" s="82"/>
      <c r="X53" s="82"/>
      <c r="Y53" s="73"/>
      <c r="Z53" s="73"/>
      <c r="AA53" s="73"/>
      <c r="AB53" s="73"/>
      <c r="AC53" s="73"/>
      <c r="AD53" s="73"/>
      <c r="AE53" s="73"/>
      <c r="AF53" s="73"/>
      <c r="AG53" s="73"/>
      <c r="AH53" s="73"/>
      <c r="AI53" s="73"/>
      <c r="AJ53" s="73"/>
      <c r="AK53" s="73"/>
      <c r="AL53" s="73"/>
      <c r="AM53" s="73"/>
      <c r="AN53" s="73"/>
      <c r="AO53" s="73"/>
      <c r="AP53" s="73"/>
      <c r="AQ53" s="73"/>
      <c r="AR53" s="73"/>
      <c r="AS53" s="73"/>
      <c r="AT53" s="73"/>
      <c r="AU53" s="73"/>
      <c r="AV53" s="73"/>
      <c r="AW53" s="73"/>
      <c r="AX53" s="73"/>
      <c r="AY53" s="73"/>
      <c r="AZ53" s="73"/>
      <c r="BA53" s="73"/>
      <c r="BB53" s="73"/>
      <c r="BC53" s="73"/>
      <c r="BD53" s="73"/>
      <c r="BE53" s="73"/>
      <c r="BF53" s="73"/>
      <c r="BG53" s="73"/>
      <c r="BH53" s="73"/>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3" t="s">
        <v>138</v>
      </c>
      <c r="E54" s="73"/>
      <c r="F54" s="73"/>
      <c r="G54" s="73"/>
      <c r="H54" s="82"/>
      <c r="I54" s="82"/>
      <c r="J54" s="82"/>
      <c r="K54" s="83" t="s">
        <v>0</v>
      </c>
      <c r="L54" s="83"/>
      <c r="M54" s="83"/>
      <c r="N54" s="83"/>
      <c r="O54" s="83"/>
      <c r="P54" s="83"/>
      <c r="Q54" s="73"/>
      <c r="R54" s="73"/>
      <c r="S54" s="73"/>
      <c r="T54" s="73" t="s">
        <v>0</v>
      </c>
      <c r="U54" s="82"/>
      <c r="V54" s="82"/>
      <c r="W54" s="82"/>
      <c r="X54" s="82"/>
      <c r="Y54" s="73"/>
      <c r="Z54" s="73"/>
      <c r="AA54" s="73"/>
      <c r="AB54" s="73"/>
      <c r="AC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73"/>
      <c r="BA54" s="73"/>
      <c r="BB54" s="73"/>
      <c r="BC54" s="73"/>
      <c r="BD54" s="73"/>
      <c r="BE54" s="73"/>
      <c r="BF54" s="73"/>
      <c r="BG54" s="73"/>
      <c r="BH54" s="73"/>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3" t="s">
        <v>139</v>
      </c>
      <c r="E55" s="73"/>
      <c r="F55" s="73"/>
      <c r="G55" s="73"/>
      <c r="H55" s="82"/>
      <c r="I55" s="82"/>
      <c r="J55" s="82"/>
      <c r="K55" s="83"/>
      <c r="L55" s="83"/>
      <c r="M55" s="83"/>
      <c r="N55" s="83"/>
      <c r="O55" s="83"/>
      <c r="P55" s="83"/>
      <c r="Q55" s="73"/>
      <c r="R55" s="73"/>
      <c r="S55" s="73"/>
      <c r="T55" s="73" t="s">
        <v>0</v>
      </c>
      <c r="U55" s="82"/>
      <c r="V55" s="82"/>
      <c r="W55" s="82"/>
      <c r="X55" s="82" t="s">
        <v>0</v>
      </c>
      <c r="Y55" s="73"/>
      <c r="Z55" s="73"/>
      <c r="AA55" s="73"/>
      <c r="AB55" s="73"/>
      <c r="AC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73"/>
      <c r="BA55" s="73"/>
      <c r="BB55" s="73"/>
      <c r="BC55" s="73"/>
      <c r="BD55" s="73"/>
      <c r="BE55" s="73"/>
      <c r="BF55" s="73"/>
      <c r="BG55" s="73"/>
      <c r="BH55" s="73"/>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75"/>
      <c r="E56" s="73"/>
      <c r="F56" s="73"/>
      <c r="G56" s="73"/>
      <c r="H56" s="73"/>
      <c r="I56" s="73"/>
      <c r="J56" s="73" t="s">
        <v>143</v>
      </c>
      <c r="K56" s="73"/>
      <c r="L56" s="73"/>
      <c r="M56" s="73"/>
      <c r="N56" s="73"/>
      <c r="O56" s="73"/>
      <c r="P56" s="73" t="s">
        <v>144</v>
      </c>
      <c r="Q56" s="73"/>
      <c r="R56" s="73"/>
      <c r="S56" s="73"/>
      <c r="T56" s="73" t="s">
        <v>145</v>
      </c>
      <c r="U56" s="73"/>
      <c r="V56" s="73"/>
      <c r="W56" s="73"/>
      <c r="X56" s="73"/>
      <c r="Y56" s="73" t="s">
        <v>146</v>
      </c>
      <c r="AA56" s="73"/>
      <c r="AB56" s="73"/>
      <c r="AC56" s="73"/>
      <c r="AD56" s="73"/>
      <c r="AE56" s="73"/>
      <c r="AF56" s="73"/>
      <c r="AG56" s="73"/>
      <c r="AH56" s="73"/>
      <c r="AI56" s="73"/>
      <c r="AJ56" s="73"/>
      <c r="AK56" s="73"/>
      <c r="AL56" s="73"/>
      <c r="AM56" s="73"/>
      <c r="AN56" s="73"/>
      <c r="AO56" s="73"/>
      <c r="AP56" s="73"/>
      <c r="AQ56" s="73"/>
      <c r="AR56" s="73"/>
      <c r="AS56" s="73"/>
      <c r="AT56" s="73"/>
      <c r="AU56" s="73"/>
      <c r="AV56" s="73"/>
      <c r="AW56" s="73"/>
      <c r="AX56" s="73"/>
      <c r="AY56" s="73"/>
      <c r="AZ56" s="73"/>
      <c r="BA56" s="73"/>
      <c r="BB56" s="73"/>
      <c r="BC56" s="73"/>
      <c r="BD56" s="73"/>
      <c r="BE56" s="73"/>
      <c r="BF56" s="73"/>
      <c r="BG56" s="73"/>
      <c r="BH56" s="73"/>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73"/>
      <c r="F57" s="73"/>
      <c r="G57" s="73"/>
      <c r="H57" s="73"/>
      <c r="I57" s="73"/>
      <c r="J57" s="73"/>
      <c r="K57" s="73"/>
      <c r="L57" s="73"/>
      <c r="M57" s="73"/>
      <c r="N57" s="73"/>
      <c r="O57" s="73"/>
      <c r="P57" s="73"/>
      <c r="Q57" s="73"/>
      <c r="R57" s="73"/>
      <c r="S57" s="73"/>
      <c r="T57" s="73"/>
      <c r="U57" s="73"/>
      <c r="V57" s="73"/>
      <c r="W57" s="73"/>
      <c r="X57" s="73"/>
      <c r="Y57" s="73"/>
      <c r="Z57" s="73"/>
      <c r="AA57" s="73"/>
      <c r="AB57" s="73"/>
      <c r="AC57" s="73"/>
      <c r="AD57" s="73"/>
      <c r="AE57" s="73"/>
      <c r="AF57" s="73"/>
      <c r="AG57" s="73"/>
      <c r="AH57" s="73"/>
      <c r="AI57" s="73"/>
      <c r="AJ57" s="73"/>
      <c r="AK57" s="73"/>
      <c r="AL57" s="73"/>
      <c r="AM57" s="73"/>
      <c r="AN57" s="73"/>
      <c r="AO57" s="73"/>
      <c r="AP57" s="73"/>
      <c r="AQ57" s="73"/>
      <c r="AR57" s="73"/>
      <c r="AS57" s="73"/>
      <c r="AT57" s="73"/>
      <c r="AU57" s="73"/>
      <c r="AV57" s="73"/>
      <c r="AW57" s="73"/>
      <c r="AX57" s="73"/>
      <c r="AY57" s="73"/>
      <c r="AZ57" s="73"/>
      <c r="BA57" s="73"/>
      <c r="BB57" s="73"/>
      <c r="BC57" s="73"/>
      <c r="BD57" s="73"/>
      <c r="BE57" s="73"/>
      <c r="BF57" s="73"/>
      <c r="BG57" s="73"/>
      <c r="BH57" s="73"/>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75"/>
      <c r="E58" s="73"/>
      <c r="F58" s="73"/>
      <c r="G58" s="73"/>
      <c r="H58" s="73"/>
      <c r="I58" s="73"/>
      <c r="J58" s="73"/>
      <c r="K58" s="73"/>
      <c r="L58" s="73"/>
      <c r="M58" s="73"/>
      <c r="N58" s="73"/>
      <c r="O58" s="73"/>
      <c r="P58" s="73"/>
      <c r="Q58" s="73"/>
      <c r="R58" s="73"/>
      <c r="S58" s="73"/>
      <c r="T58" s="73"/>
      <c r="U58" s="73"/>
      <c r="V58" s="73"/>
      <c r="W58" s="73"/>
      <c r="X58" s="73"/>
      <c r="Y58" s="73"/>
      <c r="Z58" s="73"/>
      <c r="AA58" s="73"/>
      <c r="AB58" s="73"/>
      <c r="AC58" s="73"/>
      <c r="AD58" s="73"/>
      <c r="AE58" s="73"/>
      <c r="AF58" s="73"/>
      <c r="AG58" s="73"/>
      <c r="AH58" s="73"/>
      <c r="AI58" s="73"/>
      <c r="AJ58" s="73"/>
      <c r="AK58" s="73"/>
      <c r="AL58" s="73"/>
      <c r="AM58" s="73"/>
      <c r="AN58" s="73"/>
      <c r="AO58" s="73"/>
      <c r="AP58" s="73"/>
      <c r="AQ58" s="73"/>
      <c r="AR58" s="73"/>
      <c r="AS58" s="73"/>
      <c r="AT58" s="73"/>
      <c r="AU58" s="73"/>
      <c r="AV58" s="73"/>
      <c r="AW58" s="73"/>
      <c r="AX58" s="73"/>
      <c r="AY58" s="73"/>
      <c r="AZ58" s="73"/>
      <c r="BA58" s="73"/>
      <c r="BB58" s="73"/>
      <c r="BC58" s="73"/>
      <c r="BD58" s="73"/>
      <c r="BE58" s="73"/>
      <c r="BF58" s="73"/>
      <c r="BG58" s="73"/>
      <c r="BH58" s="73"/>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75"/>
      <c r="E59" s="73"/>
      <c r="F59" s="73"/>
      <c r="G59" s="73"/>
      <c r="H59" s="73"/>
      <c r="I59" s="73"/>
      <c r="J59" s="73"/>
      <c r="K59" s="73"/>
      <c r="L59" s="73"/>
      <c r="M59" s="73"/>
      <c r="N59" s="73"/>
      <c r="O59" s="73"/>
      <c r="P59" s="73"/>
      <c r="Q59" s="73"/>
      <c r="R59" s="73"/>
      <c r="S59" s="73"/>
      <c r="T59" s="73"/>
      <c r="U59" s="73"/>
      <c r="V59" s="73"/>
      <c r="W59" s="73"/>
      <c r="X59" s="73"/>
      <c r="Y59" s="73"/>
      <c r="Z59" s="73"/>
      <c r="AA59" s="73"/>
      <c r="AB59" s="73"/>
      <c r="AC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A59" s="73"/>
      <c r="BB59" s="73"/>
      <c r="BC59" s="73"/>
      <c r="BD59" s="73"/>
      <c r="BE59" s="73"/>
      <c r="BF59" s="73"/>
      <c r="BG59" s="73"/>
      <c r="BH59" s="73"/>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75"/>
      <c r="E60" s="73"/>
      <c r="F60" s="73"/>
      <c r="G60" s="73"/>
      <c r="H60" s="73"/>
      <c r="I60" s="73"/>
      <c r="J60" s="73"/>
      <c r="K60" s="73"/>
      <c r="L60" s="73"/>
      <c r="M60" s="73"/>
      <c r="N60" s="73"/>
      <c r="O60" s="73"/>
      <c r="P60" s="73"/>
      <c r="Q60" s="73"/>
      <c r="R60" s="73"/>
      <c r="S60" s="73"/>
      <c r="T60" s="73"/>
      <c r="U60" s="73"/>
      <c r="V60" s="73"/>
      <c r="W60" s="73"/>
      <c r="X60" s="73"/>
      <c r="Y60" s="73"/>
      <c r="Z60" s="73"/>
      <c r="AA60" s="73"/>
      <c r="AB60" s="73"/>
      <c r="AC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A60" s="73"/>
      <c r="BB60" s="73"/>
      <c r="BC60" s="73"/>
      <c r="BD60" s="73"/>
      <c r="BE60" s="73"/>
      <c r="BF60" s="73"/>
      <c r="BG60" s="73"/>
      <c r="BH60" s="73"/>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75"/>
      <c r="E61" s="73"/>
      <c r="F61" s="73"/>
      <c r="G61" s="73"/>
      <c r="H61" s="73"/>
      <c r="I61" s="73"/>
      <c r="J61" s="73"/>
      <c r="K61" s="73"/>
      <c r="L61" s="73"/>
      <c r="M61" s="73"/>
      <c r="N61" s="73"/>
      <c r="O61" s="73"/>
      <c r="P61" s="73"/>
      <c r="Q61" s="73"/>
      <c r="R61" s="73"/>
      <c r="S61" s="73"/>
      <c r="T61" s="73"/>
      <c r="U61" s="73"/>
      <c r="V61" s="73"/>
      <c r="W61" s="73"/>
      <c r="X61" s="73"/>
      <c r="Y61" s="73"/>
      <c r="Z61" s="73"/>
      <c r="AA61" s="73"/>
      <c r="AB61" s="73"/>
      <c r="AC61" s="73"/>
      <c r="AD61" s="73"/>
      <c r="AE61" s="73"/>
      <c r="AF61" s="73"/>
      <c r="AG61" s="73"/>
      <c r="AH61" s="73"/>
      <c r="AI61" s="73"/>
      <c r="AJ61" s="73"/>
      <c r="AK61" s="73"/>
      <c r="AL61" s="73"/>
      <c r="AM61" s="73"/>
      <c r="AN61" s="73"/>
      <c r="AO61" s="73"/>
      <c r="AP61" s="73"/>
      <c r="AQ61" s="73"/>
      <c r="AR61" s="73"/>
      <c r="AS61" s="73"/>
      <c r="AT61" s="73"/>
      <c r="AU61" s="73"/>
      <c r="AV61" s="73"/>
      <c r="AW61" s="73"/>
      <c r="AX61" s="73"/>
      <c r="AY61" s="73"/>
      <c r="AZ61" s="73"/>
      <c r="BA61" s="73"/>
      <c r="BB61" s="73"/>
      <c r="BC61" s="73"/>
      <c r="BD61" s="73"/>
      <c r="BE61" s="73"/>
      <c r="BF61" s="73"/>
      <c r="BG61" s="73"/>
      <c r="BH61" s="73"/>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5"/>
      <c r="E62" s="73"/>
      <c r="F62" s="73"/>
      <c r="G62" s="73"/>
      <c r="H62" s="73"/>
      <c r="I62" s="73"/>
      <c r="J62" s="73"/>
      <c r="K62" s="73"/>
      <c r="L62" s="73"/>
      <c r="M62" s="73"/>
      <c r="N62" s="73"/>
      <c r="O62" s="73"/>
      <c r="P62" s="73"/>
      <c r="Q62" s="73"/>
      <c r="R62" s="73"/>
      <c r="S62" s="73"/>
      <c r="T62" s="73"/>
      <c r="U62" s="73"/>
      <c r="V62" s="73"/>
      <c r="W62" s="73"/>
      <c r="X62" s="73"/>
      <c r="Y62" s="73"/>
      <c r="Z62" s="73"/>
      <c r="AA62" s="73"/>
      <c r="AB62" s="73"/>
      <c r="AC62" s="73"/>
      <c r="AD62" s="73"/>
      <c r="AE62" s="73"/>
      <c r="AF62" s="73"/>
      <c r="AG62" s="73"/>
      <c r="AH62" s="73"/>
      <c r="AI62" s="73"/>
      <c r="AJ62" s="73"/>
      <c r="AK62" s="73"/>
      <c r="AL62" s="73"/>
      <c r="AM62" s="73"/>
      <c r="AN62" s="73"/>
      <c r="AO62" s="73"/>
      <c r="AP62" s="73"/>
      <c r="AQ62" s="73"/>
      <c r="AR62" s="73"/>
      <c r="AS62" s="73"/>
      <c r="AT62" s="73"/>
      <c r="AU62" s="73"/>
      <c r="AV62" s="73"/>
      <c r="AW62" s="73"/>
      <c r="AX62" s="73"/>
      <c r="AY62" s="73"/>
      <c r="AZ62" s="73"/>
      <c r="BA62" s="73"/>
      <c r="BB62" s="73"/>
      <c r="BC62" s="73"/>
      <c r="BD62" s="73"/>
      <c r="BE62" s="73"/>
      <c r="BF62" s="73"/>
      <c r="BG62" s="73"/>
      <c r="BH62" s="73"/>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5"/>
      <c r="E63" s="73"/>
      <c r="F63" s="73"/>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A63" s="73"/>
      <c r="BB63" s="73"/>
      <c r="BC63" s="73"/>
      <c r="BD63" s="73"/>
      <c r="BE63" s="73"/>
      <c r="BF63" s="73"/>
      <c r="BG63" s="73"/>
      <c r="BH63" s="73"/>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3"/>
      <c r="F64" s="73"/>
      <c r="G64" s="73"/>
      <c r="H64" s="73"/>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c r="AH64" s="73"/>
      <c r="AI64" s="73"/>
      <c r="AJ64" s="73"/>
      <c r="AK64" s="73"/>
      <c r="AL64" s="73"/>
      <c r="AM64" s="73"/>
      <c r="AN64" s="73"/>
      <c r="AO64" s="73"/>
      <c r="AP64" s="73"/>
      <c r="AQ64" s="73"/>
      <c r="AR64" s="73"/>
      <c r="AS64" s="73"/>
      <c r="AT64" s="73"/>
      <c r="AU64" s="73"/>
      <c r="AV64" s="73"/>
      <c r="AW64" s="73"/>
      <c r="AX64" s="73"/>
      <c r="AY64" s="73"/>
      <c r="AZ64" s="73"/>
      <c r="BA64" s="73"/>
      <c r="BB64" s="73"/>
      <c r="BC64" s="73"/>
      <c r="BD64" s="73"/>
      <c r="BE64" s="73"/>
      <c r="BF64" s="73"/>
      <c r="BG64" s="73"/>
      <c r="BH64" s="73"/>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3"/>
      <c r="F65" s="73"/>
      <c r="G65" s="73"/>
      <c r="H65" s="73"/>
      <c r="I65" s="73"/>
      <c r="J65" s="73"/>
      <c r="K65" s="73"/>
      <c r="L65" s="73"/>
      <c r="M65" s="73"/>
      <c r="N65" s="73"/>
      <c r="O65" s="73"/>
      <c r="P65" s="73"/>
      <c r="Q65" s="73"/>
      <c r="R65" s="73"/>
      <c r="S65" s="73"/>
      <c r="T65" s="73"/>
      <c r="U65" s="73"/>
      <c r="V65" s="73"/>
      <c r="W65" s="73"/>
      <c r="X65" s="73"/>
      <c r="Y65" s="73"/>
      <c r="Z65" s="73"/>
      <c r="AA65" s="73"/>
      <c r="AB65" s="73"/>
      <c r="AC65" s="73"/>
      <c r="AD65" s="73"/>
      <c r="AE65" s="73"/>
      <c r="AF65" s="73"/>
      <c r="AG65" s="73"/>
      <c r="AH65" s="73"/>
      <c r="AI65" s="73"/>
      <c r="AJ65" s="73"/>
      <c r="AK65" s="73"/>
      <c r="AL65" s="73"/>
      <c r="AM65" s="73"/>
      <c r="AN65" s="73"/>
      <c r="AO65" s="73"/>
      <c r="AP65" s="73"/>
      <c r="AQ65" s="73"/>
      <c r="AR65" s="73"/>
      <c r="AS65" s="73"/>
      <c r="AT65" s="73"/>
      <c r="AU65" s="73"/>
      <c r="AV65" s="73"/>
      <c r="AW65" s="73"/>
      <c r="AX65" s="73"/>
      <c r="AY65" s="73"/>
      <c r="AZ65" s="73"/>
      <c r="BA65" s="73"/>
      <c r="BB65" s="73"/>
      <c r="BC65" s="73"/>
      <c r="BD65" s="73"/>
      <c r="BE65" s="73"/>
      <c r="BF65" s="73"/>
      <c r="BG65" s="73"/>
      <c r="BH65" s="73"/>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3"/>
      <c r="F66" s="73"/>
      <c r="G66" s="73"/>
      <c r="H66" s="73"/>
      <c r="I66" s="73"/>
      <c r="J66" s="73"/>
      <c r="K66" s="73"/>
      <c r="L66" s="73"/>
      <c r="M66" s="73"/>
      <c r="N66" s="73"/>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s="73"/>
      <c r="AN66" s="73"/>
      <c r="AO66" s="73"/>
      <c r="AP66" s="73"/>
      <c r="AQ66" s="73"/>
      <c r="AR66" s="73"/>
      <c r="AS66" s="73"/>
      <c r="AT66" s="73"/>
      <c r="AU66" s="73"/>
      <c r="AV66" s="73"/>
      <c r="AW66" s="73"/>
      <c r="AX66" s="73"/>
      <c r="AY66" s="73"/>
      <c r="AZ66" s="73"/>
      <c r="BA66" s="73"/>
      <c r="BB66" s="73"/>
      <c r="BC66" s="73"/>
      <c r="BD66" s="73"/>
      <c r="BE66" s="73"/>
      <c r="BF66" s="73"/>
      <c r="BG66" s="73"/>
      <c r="BH66" s="73"/>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3"/>
      <c r="F67" s="73"/>
      <c r="G67" s="73"/>
      <c r="H67" s="73"/>
      <c r="I67" s="73"/>
      <c r="J67" s="73"/>
      <c r="K67" s="73"/>
      <c r="L67" s="73"/>
      <c r="M67" s="73"/>
      <c r="N67" s="73"/>
      <c r="O67" s="73"/>
      <c r="P67" s="73"/>
      <c r="Q67" s="73"/>
      <c r="R67" s="73"/>
      <c r="S67" s="73"/>
      <c r="T67" s="73"/>
      <c r="U67" s="73"/>
      <c r="V67" s="73"/>
      <c r="W67" s="73"/>
      <c r="X67" s="73"/>
      <c r="Y67" s="73"/>
      <c r="Z67" s="73"/>
      <c r="AA67" s="73"/>
      <c r="AB67" s="73"/>
      <c r="AC67" s="73"/>
      <c r="AD67" s="73"/>
      <c r="AE67" s="73"/>
      <c r="AF67" s="73"/>
      <c r="AG67" s="73"/>
      <c r="AH67" s="73"/>
      <c r="AI67" s="73"/>
      <c r="AJ67" s="73"/>
      <c r="AK67" s="73"/>
      <c r="AL67" s="73"/>
      <c r="AM67" s="73"/>
      <c r="AN67" s="73"/>
      <c r="AO67" s="73"/>
      <c r="AP67" s="73"/>
      <c r="AQ67" s="73"/>
      <c r="AR67" s="73"/>
      <c r="AS67" s="73"/>
      <c r="AT67" s="73"/>
      <c r="AU67" s="73"/>
      <c r="AV67" s="73"/>
      <c r="AW67" s="73"/>
      <c r="AX67" s="73"/>
      <c r="AY67" s="73"/>
      <c r="AZ67" s="73"/>
      <c r="BA67" s="73"/>
      <c r="BB67" s="73"/>
      <c r="BC67" s="73"/>
      <c r="BD67" s="73"/>
      <c r="BE67" s="73"/>
      <c r="BF67" s="73"/>
      <c r="BG67" s="73"/>
      <c r="BH67" s="73"/>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3"/>
      <c r="F68" s="73"/>
      <c r="G68" s="73"/>
      <c r="H68" s="73"/>
      <c r="I68" s="73"/>
      <c r="J68" s="73"/>
      <c r="K68" s="73"/>
      <c r="L68" s="73"/>
      <c r="M68" s="73"/>
      <c r="N68" s="73"/>
      <c r="O68" s="73"/>
      <c r="P68" s="73"/>
      <c r="Q68" s="73"/>
      <c r="R68" s="73"/>
      <c r="S68" s="73"/>
      <c r="T68" s="73"/>
      <c r="U68" s="73"/>
      <c r="V68" s="73"/>
      <c r="W68" s="73"/>
      <c r="X68" s="73"/>
      <c r="Y68" s="73"/>
      <c r="Z68" s="73"/>
      <c r="AA68" s="73"/>
      <c r="AB68" s="73"/>
      <c r="AC68" s="73"/>
      <c r="AD68" s="73"/>
      <c r="AE68" s="73"/>
      <c r="AF68" s="73"/>
      <c r="AG68" s="73"/>
      <c r="AH68" s="73"/>
      <c r="AI68" s="73"/>
      <c r="AJ68" s="73"/>
      <c r="AK68" s="73"/>
      <c r="AL68" s="73"/>
      <c r="AM68" s="73"/>
      <c r="AN68" s="73"/>
      <c r="AO68" s="73"/>
      <c r="AP68" s="73"/>
      <c r="AQ68" s="73"/>
      <c r="AR68" s="73"/>
      <c r="AS68" s="73"/>
      <c r="AT68" s="73"/>
      <c r="AU68" s="73"/>
      <c r="AV68" s="73"/>
      <c r="AW68" s="73"/>
      <c r="AX68" s="73"/>
      <c r="AY68" s="73"/>
      <c r="AZ68" s="73"/>
      <c r="BA68" s="73"/>
      <c r="BB68" s="73"/>
      <c r="BC68" s="73"/>
      <c r="BD68" s="73"/>
      <c r="BE68" s="73"/>
      <c r="BF68" s="73"/>
      <c r="BG68" s="73"/>
      <c r="BH68" s="73"/>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3"/>
      <c r="F69" s="73"/>
      <c r="G69" s="73"/>
      <c r="H69" s="73"/>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s="73"/>
      <c r="AN69" s="73"/>
      <c r="AO69" s="73"/>
      <c r="AP69" s="73"/>
      <c r="AQ69" s="73"/>
      <c r="AR69" s="73"/>
      <c r="AS69" s="73"/>
      <c r="AT69" s="73"/>
      <c r="AU69" s="73"/>
      <c r="AV69" s="73"/>
      <c r="AW69" s="73"/>
      <c r="AX69" s="73"/>
      <c r="AY69" s="73"/>
      <c r="AZ69" s="73"/>
      <c r="BA69" s="73"/>
      <c r="BB69" s="73"/>
      <c r="BC69" s="73"/>
      <c r="BD69" s="73"/>
      <c r="BE69" s="73"/>
      <c r="BF69" s="73"/>
      <c r="BG69" s="73"/>
      <c r="BH69" s="73"/>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3"/>
      <c r="F70" s="73"/>
      <c r="G70" s="73"/>
      <c r="H70" s="73"/>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s="73"/>
      <c r="AN70" s="73"/>
      <c r="AO70" s="73"/>
      <c r="AP70" s="73"/>
      <c r="AQ70" s="73"/>
      <c r="AR70" s="73"/>
      <c r="AS70" s="73"/>
      <c r="AT70" s="73"/>
      <c r="AU70" s="73"/>
      <c r="AV70" s="73"/>
      <c r="AW70" s="73"/>
      <c r="AX70" s="73"/>
      <c r="AY70" s="73"/>
      <c r="AZ70" s="73"/>
      <c r="BA70" s="73"/>
      <c r="BB70" s="73"/>
      <c r="BC70" s="73"/>
      <c r="BD70" s="73"/>
      <c r="BE70" s="73"/>
      <c r="BF70" s="73"/>
      <c r="BG70" s="73"/>
      <c r="BH70" s="73"/>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3"/>
      <c r="F71" s="73"/>
      <c r="G71" s="73"/>
      <c r="H71" s="73"/>
      <c r="I71" s="73"/>
      <c r="J71" s="73"/>
      <c r="K71" s="73"/>
      <c r="L71" s="73"/>
      <c r="M71" s="73"/>
      <c r="N71" s="73"/>
      <c r="O71" s="73"/>
      <c r="P71" s="73"/>
      <c r="Q71" s="73"/>
      <c r="R71" s="73"/>
      <c r="S71" s="73"/>
      <c r="T71" s="73"/>
      <c r="U71" s="73"/>
      <c r="V71" s="73"/>
      <c r="W71" s="73"/>
      <c r="X71" s="73"/>
      <c r="Y71" s="73"/>
      <c r="Z71" s="73"/>
      <c r="AA71" s="73"/>
      <c r="AB71" s="73"/>
      <c r="AC71" s="73"/>
      <c r="AD71" s="73"/>
      <c r="AE71" s="73"/>
      <c r="AF71" s="73"/>
      <c r="AG71" s="73"/>
      <c r="AH71" s="73"/>
      <c r="AI71" s="73"/>
      <c r="AJ71" s="73"/>
      <c r="AK71" s="73"/>
      <c r="AL71" s="73"/>
      <c r="AM71" s="73"/>
      <c r="AN71" s="73"/>
      <c r="AO71" s="73"/>
      <c r="AP71" s="73"/>
      <c r="AQ71" s="73"/>
      <c r="AR71" s="73"/>
      <c r="AS71" s="73"/>
      <c r="AT71" s="73"/>
      <c r="AU71" s="73"/>
      <c r="AV71" s="73"/>
      <c r="AW71" s="73"/>
      <c r="AX71" s="73"/>
      <c r="AY71" s="73"/>
      <c r="AZ71" s="73"/>
      <c r="BA71" s="73"/>
      <c r="BB71" s="73"/>
      <c r="BC71" s="73"/>
      <c r="BD71" s="73"/>
      <c r="BE71" s="73"/>
      <c r="BF71" s="73"/>
      <c r="BG71" s="73"/>
      <c r="BH71" s="73"/>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3"/>
      <c r="F72" s="73"/>
      <c r="G72" s="73"/>
      <c r="H72" s="73"/>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s="73"/>
      <c r="AN72" s="73"/>
      <c r="AO72" s="73"/>
      <c r="AP72" s="73"/>
      <c r="AQ72" s="73"/>
      <c r="AR72" s="73"/>
      <c r="AS72" s="73"/>
      <c r="AT72" s="73"/>
      <c r="AU72" s="73"/>
      <c r="AV72" s="73"/>
      <c r="AW72" s="73"/>
      <c r="AX72" s="73"/>
      <c r="AY72" s="73"/>
      <c r="AZ72" s="73"/>
      <c r="BA72" s="73"/>
      <c r="BB72" s="73"/>
      <c r="BC72" s="73"/>
      <c r="BD72" s="73"/>
      <c r="BE72" s="73"/>
      <c r="BF72" s="73"/>
      <c r="BG72" s="73"/>
      <c r="BH72" s="73"/>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3"/>
      <c r="F73" s="73"/>
      <c r="G73" s="73"/>
      <c r="H73" s="73"/>
      <c r="I73" s="73"/>
      <c r="J73" s="73"/>
      <c r="K73" s="73"/>
      <c r="L73" s="73"/>
      <c r="M73" s="73"/>
      <c r="N73" s="73"/>
      <c r="O73" s="73"/>
      <c r="P73" s="73"/>
      <c r="Q73" s="73"/>
      <c r="R73" s="73"/>
      <c r="S73" s="73"/>
      <c r="T73" s="73"/>
      <c r="U73" s="73"/>
      <c r="V73" s="73"/>
      <c r="W73" s="73"/>
      <c r="X73" s="73"/>
      <c r="Y73" s="73"/>
      <c r="Z73" s="73"/>
      <c r="AA73" s="73"/>
      <c r="AB73" s="73"/>
      <c r="AC73" s="73"/>
      <c r="AD73" s="73"/>
      <c r="AE73" s="73"/>
      <c r="AF73" s="73"/>
      <c r="AG73" s="73"/>
      <c r="AH73" s="73"/>
      <c r="AI73" s="73"/>
      <c r="AJ73" s="73"/>
      <c r="AK73" s="73"/>
      <c r="AL73" s="73"/>
      <c r="AM73" s="73"/>
      <c r="AN73" s="73"/>
      <c r="AO73" s="73"/>
      <c r="AP73" s="73"/>
      <c r="AQ73" s="73"/>
      <c r="AR73" s="73"/>
      <c r="AS73" s="73"/>
      <c r="AT73" s="73"/>
      <c r="AU73" s="73"/>
      <c r="AV73" s="73"/>
      <c r="AW73" s="73"/>
      <c r="AX73" s="73"/>
      <c r="AY73" s="73"/>
      <c r="AZ73" s="73"/>
      <c r="BA73" s="73"/>
      <c r="BB73" s="73"/>
      <c r="BC73" s="73"/>
      <c r="BD73" s="73"/>
      <c r="BE73" s="73"/>
      <c r="BF73" s="73"/>
      <c r="BG73" s="73"/>
      <c r="BH73" s="73"/>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3"/>
      <c r="F74" s="73"/>
      <c r="G74" s="73"/>
      <c r="H74" s="73"/>
      <c r="I74" s="73"/>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s="73"/>
      <c r="AN74" s="73"/>
      <c r="AO74" s="73"/>
      <c r="AP74" s="73"/>
      <c r="AQ74" s="73"/>
      <c r="AR74" s="73"/>
      <c r="AS74" s="73"/>
      <c r="AT74" s="73"/>
      <c r="AU74" s="73"/>
      <c r="AV74" s="73"/>
      <c r="AW74" s="73"/>
      <c r="AX74" s="73"/>
      <c r="AY74" s="73"/>
      <c r="AZ74" s="73"/>
      <c r="BA74" s="73"/>
      <c r="BB74" s="73"/>
      <c r="BC74" s="73"/>
      <c r="BD74" s="73"/>
      <c r="BE74" s="73"/>
      <c r="BF74" s="73"/>
      <c r="BG74" s="73"/>
      <c r="BH74" s="73"/>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3"/>
      <c r="F75" s="73"/>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A75" s="73"/>
      <c r="BB75" s="73"/>
      <c r="BC75" s="73"/>
      <c r="BD75" s="73"/>
      <c r="BE75" s="73"/>
      <c r="BF75" s="73"/>
      <c r="BG75" s="73"/>
      <c r="BH75" s="73"/>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3"/>
      <c r="F76" s="73"/>
      <c r="G76" s="73"/>
      <c r="H76" s="73"/>
      <c r="I76" s="73"/>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s="73"/>
      <c r="AN76" s="73"/>
      <c r="AO76" s="73"/>
      <c r="AP76" s="73"/>
      <c r="AQ76" s="73"/>
      <c r="AR76" s="73"/>
      <c r="AS76" s="73"/>
      <c r="AT76" s="73"/>
      <c r="AU76" s="73"/>
      <c r="AV76" s="73"/>
      <c r="AW76" s="73"/>
      <c r="AX76" s="73"/>
      <c r="AY76" s="73"/>
      <c r="AZ76" s="73"/>
      <c r="BA76" s="73"/>
      <c r="BB76" s="73"/>
      <c r="BC76" s="73"/>
      <c r="BD76" s="73"/>
      <c r="BE76" s="73"/>
      <c r="BF76" s="73"/>
      <c r="BG76" s="73"/>
      <c r="BH76" s="73"/>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3"/>
      <c r="F77" s="73"/>
      <c r="G77" s="73"/>
      <c r="H77" s="73"/>
      <c r="I77" s="94"/>
      <c r="J77" s="95"/>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s="73"/>
      <c r="AN77" s="73"/>
      <c r="AO77" s="73"/>
      <c r="AP77" s="73"/>
      <c r="AQ77" s="73"/>
      <c r="AR77" s="73"/>
      <c r="AS77" s="73"/>
      <c r="AT77" s="73"/>
      <c r="AU77" s="73"/>
      <c r="AV77" s="73"/>
      <c r="AW77" s="73"/>
      <c r="AX77" s="73"/>
      <c r="AY77" s="73"/>
      <c r="AZ77" s="73"/>
      <c r="BA77" s="73"/>
      <c r="BB77" s="73"/>
      <c r="BC77" s="73"/>
      <c r="BD77" s="73"/>
      <c r="BE77" s="73"/>
      <c r="BF77" s="73"/>
      <c r="BG77" s="73"/>
      <c r="BH77" s="73"/>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3"/>
      <c r="F78" s="73"/>
      <c r="G78" s="73"/>
      <c r="H78" s="73"/>
      <c r="I78" s="73"/>
      <c r="J78" s="73"/>
      <c r="K78" s="73"/>
      <c r="L78" s="73"/>
      <c r="M78" s="73"/>
      <c r="N78" s="73"/>
      <c r="O78" s="73"/>
      <c r="P78" s="73"/>
      <c r="Q78" s="73"/>
      <c r="R78" s="73"/>
      <c r="S78" s="73"/>
      <c r="T78" s="73"/>
      <c r="U78" s="73"/>
      <c r="V78" s="73"/>
      <c r="W78" s="73"/>
      <c r="X78" s="73"/>
      <c r="Y78" s="73"/>
      <c r="Z78" s="73"/>
      <c r="AA78" s="73"/>
      <c r="AB78" s="73"/>
      <c r="AC78" s="73"/>
      <c r="AD78" s="73"/>
      <c r="AE78" s="73"/>
      <c r="AF78" s="73"/>
      <c r="AG78" s="73"/>
      <c r="AH78" s="73"/>
      <c r="AI78" s="73"/>
      <c r="AJ78" s="73"/>
      <c r="AK78" s="73"/>
      <c r="AL78" s="73"/>
      <c r="AM78" s="73"/>
      <c r="AN78" s="73"/>
      <c r="AO78" s="73"/>
      <c r="AP78" s="73"/>
      <c r="AQ78" s="73"/>
      <c r="AR78" s="73"/>
      <c r="AS78" s="73"/>
      <c r="AT78" s="73"/>
      <c r="AU78" s="73"/>
      <c r="AV78" s="73"/>
      <c r="AW78" s="73"/>
      <c r="AX78" s="73"/>
      <c r="AY78" s="73"/>
      <c r="AZ78" s="73"/>
      <c r="BA78" s="73"/>
      <c r="BB78" s="73"/>
      <c r="BC78" s="73"/>
      <c r="BD78" s="73"/>
      <c r="BE78" s="73"/>
      <c r="BF78" s="73"/>
      <c r="BG78" s="73"/>
      <c r="BH78" s="73"/>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3"/>
      <c r="F79" s="73"/>
      <c r="G79" s="73"/>
      <c r="H79" s="73"/>
      <c r="I79" s="73"/>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s="73"/>
      <c r="AN79" s="73"/>
      <c r="AO79" s="73"/>
      <c r="AP79" s="73"/>
      <c r="AQ79" s="73"/>
      <c r="AR79" s="73"/>
      <c r="AS79" s="73"/>
      <c r="AT79" s="73"/>
      <c r="AU79" s="73"/>
      <c r="AV79" s="73"/>
      <c r="AW79" s="73"/>
      <c r="AX79" s="73"/>
      <c r="AY79" s="73"/>
      <c r="AZ79" s="73"/>
      <c r="BA79" s="73"/>
      <c r="BB79" s="73"/>
      <c r="BC79" s="73"/>
      <c r="BD79" s="73"/>
      <c r="BE79" s="73"/>
      <c r="BF79" s="73"/>
      <c r="BG79" s="73"/>
      <c r="BH79" s="73"/>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3"/>
      <c r="F80" s="73"/>
      <c r="G80" s="73"/>
      <c r="H80" s="73"/>
      <c r="I80" s="73"/>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s="73"/>
      <c r="AN80" s="73"/>
      <c r="AO80" s="73"/>
      <c r="AP80" s="73"/>
      <c r="AQ80" s="73"/>
      <c r="AR80" s="73"/>
      <c r="AS80" s="73"/>
      <c r="AT80" s="73"/>
      <c r="AU80" s="73"/>
      <c r="AV80" s="73"/>
      <c r="AW80" s="73"/>
      <c r="AX80" s="73"/>
      <c r="AY80" s="73"/>
      <c r="AZ80" s="73"/>
      <c r="BA80" s="73"/>
      <c r="BB80" s="73"/>
      <c r="BC80" s="73"/>
      <c r="BD80" s="73"/>
      <c r="BE80" s="73"/>
      <c r="BF80" s="73"/>
      <c r="BG80" s="73"/>
      <c r="BH80" s="73"/>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3"/>
      <c r="F81" s="73"/>
      <c r="G81" s="73"/>
      <c r="H81" s="73"/>
      <c r="I81" s="73"/>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s="73"/>
      <c r="AN81" s="73"/>
      <c r="AO81" s="73"/>
      <c r="AP81" s="73"/>
      <c r="AQ81" s="73"/>
      <c r="AR81" s="73"/>
      <c r="AS81" s="73"/>
      <c r="AT81" s="73"/>
      <c r="AU81" s="73"/>
      <c r="AV81" s="73"/>
      <c r="AW81" s="73"/>
      <c r="AX81" s="73"/>
      <c r="AY81" s="73"/>
      <c r="AZ81" s="73"/>
      <c r="BA81" s="73"/>
      <c r="BB81" s="73"/>
      <c r="BC81" s="73"/>
      <c r="BD81" s="73"/>
      <c r="BE81" s="73"/>
      <c r="BF81" s="73"/>
      <c r="BG81" s="73"/>
      <c r="BH81" s="73"/>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3"/>
      <c r="F82" s="73"/>
      <c r="G82" s="73"/>
      <c r="H82" s="73"/>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c r="BG82" s="73"/>
      <c r="BH82" s="73"/>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3"/>
      <c r="F83" s="73"/>
      <c r="G83" s="73"/>
      <c r="H83" s="73"/>
      <c r="I83" s="73"/>
      <c r="J83" s="73"/>
      <c r="K83" s="73"/>
      <c r="L83" s="73"/>
      <c r="M83" s="73"/>
      <c r="N83" s="73"/>
      <c r="O83" s="73"/>
      <c r="P83" s="73"/>
      <c r="Q83" s="73"/>
      <c r="R83" s="73"/>
      <c r="S83" s="73"/>
      <c r="T83" s="73"/>
      <c r="U83" s="73"/>
      <c r="V83" s="73"/>
      <c r="W83" s="73"/>
      <c r="X83" s="73"/>
      <c r="Y83" s="73"/>
      <c r="Z83" s="73"/>
      <c r="AA83" s="73"/>
      <c r="AB83" s="73"/>
      <c r="AC83" s="73"/>
      <c r="AD83" s="73"/>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c r="BG83" s="73"/>
      <c r="BH83" s="73"/>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link="1"/>
  <mergeCells count="14">
    <mergeCell ref="E7:F7"/>
    <mergeCell ref="E2:F2"/>
    <mergeCell ref="E3:F3"/>
    <mergeCell ref="E4:F4"/>
    <mergeCell ref="E5:F5"/>
    <mergeCell ref="E6:F6"/>
    <mergeCell ref="B41:D41"/>
    <mergeCell ref="I77:J77"/>
    <mergeCell ref="E8:F8"/>
    <mergeCell ref="E9:F9"/>
    <mergeCell ref="E10:F10"/>
    <mergeCell ref="E11:F11"/>
    <mergeCell ref="E12:F12"/>
    <mergeCell ref="E16:F16"/>
  </mergeCells>
  <conditionalFormatting sqref="B44:B153">
    <cfRule type="expression" dxfId="431" priority="10">
      <formula>$E$5&gt;=ROW(B44)-ROW($B$43)</formula>
    </cfRule>
  </conditionalFormatting>
  <conditionalFormatting sqref="B78:BH153 B77:I77 K77:BH77 B44:BH55 B57:BH76 AA56:BH56 B56:Y56">
    <cfRule type="expression" dxfId="430" priority="9">
      <formula>$E$5&gt;=ROW(B44)-ROW($B$43)</formula>
    </cfRule>
  </conditionalFormatting>
  <conditionalFormatting sqref="E40:F41">
    <cfRule type="expression" dxfId="429" priority="1">
      <formula>$E$40&gt;2000</formula>
    </cfRule>
    <cfRule type="expression" dxfId="428" priority="2">
      <formula>$E$40&gt;2000</formula>
    </cfRule>
    <cfRule type="expression" dxfId="427" priority="3">
      <formula>$E$40&gt;2000</formula>
    </cfRule>
    <cfRule type="expression" dxfId="426" priority="4">
      <formula>$E$40&gt;2000</formula>
    </cfRule>
    <cfRule type="expression" dxfId="425" priority="5">
      <formula>$E$40&gt;2000</formula>
    </cfRule>
    <cfRule type="expression" dxfId="424" priority="6">
      <formula>$E$40&gt;2000</formula>
    </cfRule>
    <cfRule type="expression" dxfId="423" priority="7">
      <formula>$E$40&gt;2000</formula>
    </cfRule>
    <cfRule type="expression" dxfId="422" priority="8">
      <formula>$E$40&gt;2000</formula>
    </cfRule>
  </conditionalFormatting>
  <dataValidations count="8">
    <dataValidation type="whole" allowBlank="1" showInputMessage="1" showErrorMessage="1" errorTitle="Falscher Wert" error="Die Anzahl der Ausgabekanäle muss zwischen 1 und 765 liegen" sqref="E5:F5" xr:uid="{E78E7BD2-59A6-4E34-8CC8-3F81A8A1806F}">
      <formula1>1</formula1>
      <formula2>765</formula2>
    </dataValidation>
    <dataValidation type="whole" allowBlank="1" showInputMessage="1" showErrorMessage="1" errorTitle="Falscher Wert" error="&quot;Wert Max&quot; mus zwischen 0 und 255 liegen" sqref="E8:F8" xr:uid="{81385515-83AB-403E-A96E-E6AEA28BC85C}">
      <formula1>0</formula1>
      <formula2>255</formula2>
    </dataValidation>
    <dataValidation type="whole" allowBlank="1" showInputMessage="1" showErrorMessage="1" errorTitle="Falscher Wert" error="&quot;Wert ausgeschaltet&quot; muss zwischen 0 und 255 liegen." sqref="E9:F9" xr:uid="{85EC255E-9FE3-442A-A8A8-2007776C9A77}">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86CA5573-E6A5-4077-AD62-23DA79F6D315}">
      <formula1>OR(ISTEXT(E4),AND(IF(ISERROR(ROUND(VALUE(E4),0)),FALSE,ROUND(VALUE(E4),0)=E4),E4&gt;=0,E4&lt;=255))</formula1>
    </dataValidation>
    <dataValidation type="whole" allowBlank="1" showInputMessage="1" showErrorMessage="1" errorTitle="Falscher Wert" error="Der Startkanal muss zwischen 0 und 2 liegen" sqref="E3:F3" xr:uid="{B6F9872B-9751-4DA9-B50D-3E8C531BA24E}">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4F39E89F-20DD-4A9A-A98C-06253C3097A7}">
      <formula1>OR(ISTEXT(E2),AND(IF(ISERROR(ROUND(VALUE(E2),0)),FALSE,ROUND(VALUE(E2),0)=E2),E2&gt;=0,E2&lt;=255))</formula1>
    </dataValidation>
    <dataValidation type="whole" allowBlank="1" showInputMessage="1" showErrorMessage="1" errorTitle="Falscher Wert" error="&quot;Wert Min&quot; muss zwischen 0 und 255 liegen" sqref="E7:F7" xr:uid="{3429C379-B95A-4341-8067-721841EB4115}">
      <formula1>0</formula1>
      <formula2>255</formula2>
    </dataValidation>
    <dataValidation type="decimal" allowBlank="1" showErrorMessage="1" errorTitle="Falscher Wert" error="&quot;Bits pro Wert&quot; muss zwischen 1 und 8 liegen" sqref="E6:F6" xr:uid="{30BE0E56-CEFB-4650-ADC8-C2FB34DBFE1B}">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8"/>
  <dimension ref="A1:GM141"/>
  <sheetViews>
    <sheetView showGridLines="0" workbookViewId="0">
      <selection activeCell="A23" sqref="A23:XFD37"/>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2</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v>0</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CONCATENATE(Start,ErsteRGBLED,",",StCh_FreeBits_BpC,",",SchalterNr,",",Ende)</f>
        <v>PatternT1(0,128,SI_1,2,0,255,0,0,500 ms,9)</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43</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                       ",Start,"LED,",StCh_FreeBits_BpC,",InNr,",Ende)</f>
        <v>#define Wechselblinker(LED,InNr)                       PatternT1(LED,128,InNr,2,0,255,0,0,500 ms,9)</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     ",Start,"LED,","StCh+",FreeBits_BpC,",InNr,",Ende)</f>
        <v>#define Wechselblinker_StCh(LED,StCh,InNr)     PatternT1(LED,StCh+128,InNr,2,0,255,0,0,500 ms,9)</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6"/>
      <c r="G22" s="26"/>
      <c r="H22" s="26"/>
      <c r="I22" s="26"/>
      <c r="J22" s="25"/>
      <c r="K22" s="25"/>
      <c r="L22" s="25"/>
      <c r="M22" s="25"/>
      <c r="N22" s="25"/>
      <c r="O22" s="25"/>
      <c r="P22" s="25"/>
      <c r="Q22" s="25"/>
      <c r="R22" s="25"/>
      <c r="S22" s="25"/>
      <c r="T22" s="25"/>
      <c r="U22" s="27"/>
      <c r="V22" s="27"/>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38</v>
      </c>
      <c r="E29" s="14">
        <f>Startkanal+(Bits_pro_Wert-1)*4+FreeBits*32</f>
        <v>128</v>
      </c>
      <c r="F29" s="2" t="str">
        <f>DEC2BIN(E29,8)</f>
        <v>10000000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39</v>
      </c>
      <c r="E30" s="14">
        <f>(Bits_pro_Wert-1)*4+FreeBits*32</f>
        <v>128</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37</v>
      </c>
      <c r="E31" s="14" t="str">
        <f>CalculatePattern(Kanaele,E6,E42:EV296)</f>
        <v>4:,9</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36</v>
      </c>
      <c r="E32" s="14" t="str">
        <f>LEFT(Pattern_u_FreeBits,1)</f>
        <v>4</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17" t="s">
        <v>35</v>
      </c>
      <c r="E33" s="14" t="str">
        <f>MID(Pattern_u_FreeBits,3,LEN(Pattern_u_FreeBits))</f>
        <v>,9</v>
      </c>
      <c r="H33" s="14"/>
      <c r="K33" s="14"/>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34</v>
      </c>
      <c r="E34" s="14" t="str">
        <f>CONCATENATE(Kanaele,",",Wert_Min,",",WertMax,",",Wert_ausgeschaltet,",",IF(Mode="","PM_NORMAL",Mode),Zeiten,Pattern_Bytes,")")</f>
        <v>2,0,255,0,0,500 ms,9)</v>
      </c>
      <c r="K34" s="13"/>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ht="15.6" hidden="1" x14ac:dyDescent="0.3">
      <c r="D35" s="2" t="s">
        <v>40</v>
      </c>
      <c r="E35" s="41" t="str">
        <f>CONCATENATE("#define ",Makro_Name,"(LED,NStru,InNr)    ",Start,"LED,NStru,InNr,",Ende)</f>
        <v>#define Wechselblinker(LED,NStru,InNr)    PatternT1(LED,NStru,InNr,2,0,255,0,0,500 ms,9)</v>
      </c>
      <c r="F35" s="2"/>
      <c r="G35" s="2"/>
      <c r="H35" s="2"/>
      <c r="I35" s="2"/>
      <c r="J35" s="2"/>
      <c r="X35" s="2"/>
      <c r="Y35" s="14"/>
      <c r="Z35" s="2"/>
      <c r="AA35" s="2"/>
      <c r="AB35" s="2"/>
    </row>
    <row r="36" spans="1:193" hidden="1" x14ac:dyDescent="0.3">
      <c r="D36" s="17" t="s">
        <v>21</v>
      </c>
      <c r="E36" s="18">
        <v>11</v>
      </c>
      <c r="G36" s="17" t="s">
        <v>20</v>
      </c>
      <c r="H36" s="18">
        <f>2*(32-COUNTIF(E23:AJ23,""))</f>
        <v>2</v>
      </c>
      <c r="J36" s="17" t="s">
        <v>19</v>
      </c>
      <c r="K36" s="18">
        <f>LEN(Pattern_Bytes)-LEN(SUBSTITUTE(Pattern_Bytes,",",))</f>
        <v>1</v>
      </c>
      <c r="X36" s="2"/>
      <c r="Y36" s="14"/>
      <c r="Z36" s="2"/>
      <c r="AA36" s="2"/>
      <c r="AB36" s="2"/>
      <c r="AC36" s="17"/>
      <c r="AD36" s="18"/>
      <c r="AF36" s="17"/>
      <c r="AG36" s="18"/>
      <c r="AI36" s="17"/>
      <c r="AJ36" s="18"/>
    </row>
    <row r="37" spans="1:193" hidden="1" x14ac:dyDescent="0.3">
      <c r="D37" s="2"/>
      <c r="E37" s="14"/>
      <c r="F37" s="2"/>
      <c r="G37" s="2"/>
      <c r="H37" s="2"/>
      <c r="I37" s="2"/>
      <c r="J37" s="2"/>
      <c r="K37" s="2"/>
      <c r="L37" s="2"/>
      <c r="M37" s="2"/>
      <c r="N37" s="2"/>
      <c r="O37" s="2"/>
      <c r="P37" s="2"/>
      <c r="Q37" s="2"/>
      <c r="R37" s="2"/>
      <c r="S37" s="2"/>
      <c r="T37" s="2"/>
      <c r="U37" s="2"/>
      <c r="V37" s="2"/>
      <c r="W37" s="2"/>
      <c r="X37" s="2"/>
      <c r="Y37" s="14"/>
      <c r="Z37" s="2"/>
      <c r="AA37" s="2"/>
      <c r="AB37" s="2"/>
      <c r="AC37" s="2"/>
      <c r="AD37" s="2"/>
      <c r="AE37" s="2"/>
      <c r="AF37" s="2"/>
      <c r="AG37" s="2"/>
      <c r="AH37" s="2"/>
      <c r="AI37" s="2"/>
      <c r="AJ37" s="2"/>
    </row>
    <row r="38" spans="1:193" ht="12" customHeight="1" x14ac:dyDescent="0.3">
      <c r="D38" s="4" t="s">
        <v>22</v>
      </c>
      <c r="E38" s="69">
        <f>E36+TimerBytes+DataBytes</f>
        <v>14</v>
      </c>
      <c r="F38" s="22"/>
      <c r="G38" s="22"/>
      <c r="H38" s="22"/>
      <c r="I38" s="22"/>
      <c r="J38" s="22"/>
      <c r="K38" s="22"/>
      <c r="L38" s="22"/>
      <c r="M38" s="22"/>
      <c r="N38" s="22"/>
      <c r="O38" s="22"/>
      <c r="P38" s="22"/>
      <c r="Q38" s="22"/>
      <c r="R38" s="22"/>
      <c r="S38" s="22"/>
      <c r="T38" s="22"/>
      <c r="U38" s="22"/>
      <c r="V38" s="22"/>
      <c r="W38" s="22"/>
      <c r="X38" s="22"/>
      <c r="Y38" s="23"/>
      <c r="Z38" s="22"/>
      <c r="AA38" s="22"/>
      <c r="AB38" s="22"/>
      <c r="AC38" s="22"/>
      <c r="AD38" s="22"/>
      <c r="AE38" s="22"/>
      <c r="AF38" s="22"/>
      <c r="AG38" s="22"/>
      <c r="AH38" s="22"/>
      <c r="AI38" s="22"/>
      <c r="AJ38" s="22"/>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row>
    <row r="39" spans="1:193" s="70" customFormat="1" ht="12" customHeight="1" x14ac:dyDescent="0.3">
      <c r="A39"/>
      <c r="B39" s="92" t="s">
        <v>121</v>
      </c>
      <c r="C39" s="93"/>
      <c r="D39" s="93"/>
      <c r="E39" s="71"/>
      <c r="F39" s="72" t="s">
        <v>123</v>
      </c>
      <c r="G39" s="72"/>
      <c r="H39" s="72"/>
      <c r="I39" s="72"/>
      <c r="J39" s="72"/>
      <c r="K39" s="72"/>
      <c r="L39" s="72"/>
      <c r="M39" s="72"/>
      <c r="N39" s="72"/>
      <c r="O39" s="72"/>
      <c r="P39" s="72"/>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72"/>
      <c r="BA39" s="72"/>
      <c r="BB39" s="72"/>
      <c r="BC39" s="72"/>
      <c r="BD39" s="72"/>
      <c r="BE39" s="72"/>
      <c r="BF39" s="72"/>
      <c r="BG39" s="72"/>
      <c r="BH39" s="72"/>
    </row>
    <row r="40" spans="1:193" ht="12" customHeight="1" x14ac:dyDescent="0.3">
      <c r="D40" s="5" t="str">
        <f>IF(COUNTA(E42:AJ49)=0,"Bitte Tabelle ausfüllen. Positionen an denen die LEDs leuchten sollen werden mit einem Zeichen (z.B. x) markiert. Bei einer leeren Zellen ist die LED aus.","")</f>
        <v/>
      </c>
      <c r="E40" s="67"/>
      <c r="F40" s="67"/>
      <c r="G40" s="67"/>
      <c r="H40" s="67"/>
      <c r="I40" s="67"/>
      <c r="J40" s="67"/>
      <c r="K40" s="6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7"/>
      <c r="AN40" s="67"/>
      <c r="AO40" s="67"/>
      <c r="AP40" s="67"/>
      <c r="AQ40" s="67"/>
      <c r="AR40" s="67"/>
      <c r="AS40" s="67"/>
      <c r="AT40" s="67"/>
      <c r="AU40" s="67"/>
      <c r="AV40" s="67"/>
      <c r="AW40" s="67"/>
      <c r="AX40" s="67"/>
      <c r="AY40" s="67"/>
      <c r="AZ40" s="67"/>
      <c r="BA40" s="67"/>
      <c r="BB40" s="67"/>
      <c r="BC40" s="67"/>
      <c r="BD40" s="67"/>
      <c r="BE40" s="67"/>
      <c r="BF40" s="67"/>
      <c r="BG40" s="67"/>
      <c r="BH40" s="67"/>
    </row>
    <row r="41" spans="1:193" ht="15" customHeight="1" x14ac:dyDescent="0.3">
      <c r="B41" s="9" t="s">
        <v>8</v>
      </c>
      <c r="C41" s="7"/>
      <c r="D41" s="10" t="s">
        <v>122</v>
      </c>
      <c r="E41" s="11">
        <v>1</v>
      </c>
      <c r="F41" s="11">
        <v>2</v>
      </c>
      <c r="G41" s="11">
        <v>3</v>
      </c>
      <c r="H41" s="11">
        <v>4</v>
      </c>
      <c r="I41" s="11">
        <v>5</v>
      </c>
      <c r="J41" s="11">
        <v>6</v>
      </c>
      <c r="K41" s="11">
        <v>7</v>
      </c>
      <c r="L41" s="11">
        <v>8</v>
      </c>
      <c r="M41" s="11">
        <v>9</v>
      </c>
      <c r="N41" s="11">
        <v>10</v>
      </c>
      <c r="O41" s="11">
        <v>11</v>
      </c>
      <c r="P41" s="11">
        <v>12</v>
      </c>
      <c r="Q41" s="11">
        <v>13</v>
      </c>
      <c r="R41" s="11">
        <v>14</v>
      </c>
      <c r="S41" s="11">
        <v>15</v>
      </c>
      <c r="T41" s="11">
        <v>16</v>
      </c>
      <c r="U41" s="11">
        <v>17</v>
      </c>
      <c r="V41" s="11">
        <v>18</v>
      </c>
      <c r="W41" s="11">
        <v>19</v>
      </c>
      <c r="X41" s="11">
        <v>20</v>
      </c>
      <c r="Y41" s="11">
        <v>21</v>
      </c>
      <c r="Z41" s="11">
        <v>22</v>
      </c>
      <c r="AA41" s="11">
        <v>23</v>
      </c>
      <c r="AB41" s="11">
        <v>24</v>
      </c>
      <c r="AC41" s="11">
        <v>25</v>
      </c>
      <c r="AD41" s="11">
        <v>26</v>
      </c>
      <c r="AE41" s="11">
        <v>27</v>
      </c>
      <c r="AF41" s="11">
        <v>28</v>
      </c>
      <c r="AG41" s="11">
        <v>29</v>
      </c>
      <c r="AH41" s="11">
        <v>30</v>
      </c>
      <c r="AI41" s="11">
        <v>31</v>
      </c>
      <c r="AJ41" s="11">
        <v>32</v>
      </c>
      <c r="AK41" s="11">
        <v>33</v>
      </c>
      <c r="AL41" s="11">
        <v>34</v>
      </c>
      <c r="AM41" s="11">
        <v>35</v>
      </c>
      <c r="AN41" s="11">
        <v>36</v>
      </c>
      <c r="AO41" s="11">
        <v>37</v>
      </c>
      <c r="AP41" s="11">
        <v>38</v>
      </c>
      <c r="AQ41" s="11">
        <v>39</v>
      </c>
      <c r="AR41" s="11">
        <v>40</v>
      </c>
      <c r="AS41" s="11">
        <v>41</v>
      </c>
      <c r="AT41" s="11">
        <v>42</v>
      </c>
      <c r="AU41" s="11">
        <v>43</v>
      </c>
      <c r="AV41" s="11">
        <v>44</v>
      </c>
      <c r="AW41" s="11">
        <v>45</v>
      </c>
      <c r="AX41" s="11">
        <v>46</v>
      </c>
      <c r="AY41" s="11">
        <v>47</v>
      </c>
      <c r="AZ41" s="11">
        <v>48</v>
      </c>
      <c r="BA41" s="11">
        <v>49</v>
      </c>
      <c r="BB41" s="11">
        <v>50</v>
      </c>
      <c r="BC41" s="11">
        <v>51</v>
      </c>
      <c r="BD41" s="11">
        <v>52</v>
      </c>
      <c r="BE41" s="11">
        <v>53</v>
      </c>
      <c r="BF41" s="11">
        <v>54</v>
      </c>
      <c r="BG41" s="11">
        <v>55</v>
      </c>
      <c r="BH41" s="11">
        <v>56</v>
      </c>
    </row>
    <row r="42" spans="1:193" ht="13.5" customHeight="1" x14ac:dyDescent="0.3">
      <c r="B42" s="20">
        <v>1</v>
      </c>
      <c r="C42" s="8">
        <v>1</v>
      </c>
      <c r="D42" s="66" t="s">
        <v>44</v>
      </c>
      <c r="E42" s="66" t="s">
        <v>0</v>
      </c>
      <c r="F42" s="66"/>
      <c r="G42" s="66"/>
      <c r="H42" s="66"/>
      <c r="I42" s="66"/>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0"/>
      <c r="BJ42" s="61"/>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1:193" x14ac:dyDescent="0.3">
      <c r="B43" s="20">
        <v>2</v>
      </c>
      <c r="C43" s="8">
        <f>C42*2</f>
        <v>2</v>
      </c>
      <c r="D43" s="66" t="s">
        <v>45</v>
      </c>
      <c r="E43" s="66"/>
      <c r="F43" s="66" t="s">
        <v>0</v>
      </c>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0"/>
      <c r="BJ43" s="61"/>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1:193" x14ac:dyDescent="0.3">
      <c r="B44" s="20">
        <v>3</v>
      </c>
      <c r="C44" s="8">
        <f t="shared" ref="C44:C81" si="2">C43*2</f>
        <v>4</v>
      </c>
      <c r="D44" s="66"/>
      <c r="E44" s="66"/>
      <c r="F44" s="66"/>
      <c r="G44" s="66"/>
      <c r="H44" s="66"/>
      <c r="I44" s="66"/>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4</v>
      </c>
      <c r="C45" s="8">
        <f t="shared" si="2"/>
        <v>8</v>
      </c>
      <c r="D45" s="43"/>
      <c r="E45" s="66"/>
      <c r="F45" s="66"/>
      <c r="G45" s="66"/>
      <c r="H45" s="66"/>
      <c r="I45" s="66"/>
      <c r="J45" s="66"/>
      <c r="K45" s="66"/>
      <c r="L45" s="66"/>
      <c r="M45" s="66"/>
      <c r="N45" s="66"/>
      <c r="O45" s="66"/>
      <c r="P45" s="66"/>
      <c r="Q45" s="66"/>
      <c r="R45" s="66"/>
      <c r="S45" s="66"/>
      <c r="T45" s="66"/>
      <c r="U45" s="66"/>
      <c r="V45" s="66"/>
      <c r="W45" s="66"/>
      <c r="X45" s="66"/>
      <c r="Y45" s="66"/>
      <c r="Z45" s="66"/>
      <c r="AA45" s="66"/>
      <c r="AB45" s="66"/>
      <c r="AC45" s="66"/>
      <c r="AD45" s="66"/>
      <c r="AE45" s="66"/>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5</v>
      </c>
      <c r="C46" s="8">
        <f t="shared" si="2"/>
        <v>16</v>
      </c>
      <c r="D46" s="37"/>
      <c r="E46" s="66"/>
      <c r="F46" s="66"/>
      <c r="G46" s="66"/>
      <c r="H46" s="66"/>
      <c r="I46" s="66"/>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6</v>
      </c>
      <c r="C47" s="8">
        <f t="shared" si="2"/>
        <v>32</v>
      </c>
      <c r="D47" s="38"/>
      <c r="E47" s="66"/>
      <c r="F47" s="66"/>
      <c r="G47" s="66"/>
      <c r="H47" s="66"/>
      <c r="I47" s="66"/>
      <c r="J47" s="66"/>
      <c r="K47" s="66"/>
      <c r="L47" s="66"/>
      <c r="M47" s="66"/>
      <c r="N47" s="66"/>
      <c r="O47" s="66"/>
      <c r="P47" s="66"/>
      <c r="Q47" s="66"/>
      <c r="R47" s="66"/>
      <c r="S47" s="66"/>
      <c r="T47" s="66"/>
      <c r="U47" s="66"/>
      <c r="V47" s="66"/>
      <c r="W47" s="66"/>
      <c r="X47" s="66"/>
      <c r="Y47" s="66"/>
      <c r="Z47" s="66"/>
      <c r="AA47" s="66"/>
      <c r="AB47" s="66"/>
      <c r="AC47" s="66"/>
      <c r="AD47" s="66"/>
      <c r="AE47" s="66"/>
      <c r="AF47" s="66"/>
      <c r="AG47" s="66"/>
      <c r="AH47" s="66"/>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6"/>
      <c r="BH47" s="66"/>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7</v>
      </c>
      <c r="C48" s="8">
        <f t="shared" si="2"/>
        <v>64</v>
      </c>
      <c r="D48" s="36"/>
      <c r="E48" s="66"/>
      <c r="F48" s="66"/>
      <c r="G48" s="66"/>
      <c r="H48" s="66"/>
      <c r="I48" s="66"/>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8</v>
      </c>
      <c r="C49" s="8">
        <f t="shared" si="2"/>
        <v>128</v>
      </c>
      <c r="D49" s="37"/>
      <c r="E49" s="66"/>
      <c r="F49" s="66"/>
      <c r="G49" s="66"/>
      <c r="H49" s="66"/>
      <c r="I49" s="66"/>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9</v>
      </c>
      <c r="C50" s="8">
        <f t="shared" si="2"/>
        <v>256</v>
      </c>
      <c r="D50" s="39"/>
      <c r="E50" s="62"/>
      <c r="F50" s="66"/>
      <c r="G50" s="66"/>
      <c r="H50" s="66"/>
      <c r="I50" s="66"/>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10</v>
      </c>
      <c r="C51" s="8">
        <f t="shared" si="2"/>
        <v>512</v>
      </c>
      <c r="D51" s="36"/>
      <c r="E51" s="66"/>
      <c r="F51" s="66"/>
      <c r="G51" s="66"/>
      <c r="H51" s="66"/>
      <c r="I51" s="66"/>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11</v>
      </c>
      <c r="C52" s="8">
        <f t="shared" si="2"/>
        <v>1024</v>
      </c>
      <c r="D52" s="37"/>
      <c r="E52" s="66"/>
      <c r="F52" s="66"/>
      <c r="G52" s="66"/>
      <c r="H52" s="66"/>
      <c r="I52" s="66"/>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12</v>
      </c>
      <c r="C53" s="8">
        <f t="shared" si="2"/>
        <v>2048</v>
      </c>
      <c r="D53" s="38"/>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13</v>
      </c>
      <c r="C54" s="8">
        <f t="shared" si="2"/>
        <v>4096</v>
      </c>
      <c r="D54" s="68"/>
      <c r="E54" s="66"/>
      <c r="F54" s="66"/>
      <c r="G54" s="66"/>
      <c r="H54" s="66"/>
      <c r="I54" s="66"/>
      <c r="J54" s="66"/>
      <c r="K54" s="66"/>
      <c r="L54" s="66"/>
      <c r="M54" s="66"/>
      <c r="N54" s="66"/>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6"/>
      <c r="BH54" s="66"/>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14</v>
      </c>
      <c r="C55" s="8">
        <f t="shared" si="2"/>
        <v>8192</v>
      </c>
      <c r="D55" s="37"/>
      <c r="E55" s="66"/>
      <c r="F55" s="66"/>
      <c r="G55" s="66"/>
      <c r="H55" s="66"/>
      <c r="I55" s="66"/>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15</v>
      </c>
      <c r="C56" s="8">
        <f t="shared" si="2"/>
        <v>16384</v>
      </c>
      <c r="D56" s="68"/>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16</v>
      </c>
      <c r="C57" s="8">
        <f t="shared" si="2"/>
        <v>32768</v>
      </c>
      <c r="D57" s="68"/>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17</v>
      </c>
      <c r="C58" s="8">
        <f t="shared" si="2"/>
        <v>65536</v>
      </c>
      <c r="D58" s="68"/>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18</v>
      </c>
      <c r="C59" s="8">
        <f t="shared" si="2"/>
        <v>131072</v>
      </c>
      <c r="D59" s="68"/>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19</v>
      </c>
      <c r="C60" s="8">
        <f t="shared" si="2"/>
        <v>262144</v>
      </c>
      <c r="D60" s="68"/>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20</v>
      </c>
      <c r="C61" s="8">
        <f t="shared" si="2"/>
        <v>524288</v>
      </c>
      <c r="D61" s="68"/>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21</v>
      </c>
      <c r="C62" s="8">
        <f t="shared" si="2"/>
        <v>1048576</v>
      </c>
      <c r="D62" s="29"/>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22</v>
      </c>
      <c r="C63" s="8">
        <f t="shared" si="2"/>
        <v>2097152</v>
      </c>
      <c r="D63" s="29"/>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23</v>
      </c>
      <c r="C64" s="8">
        <f t="shared" si="2"/>
        <v>4194304</v>
      </c>
      <c r="D64" s="29"/>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24</v>
      </c>
      <c r="C65" s="8">
        <f t="shared" si="2"/>
        <v>8388608</v>
      </c>
      <c r="D65" s="29"/>
      <c r="E65" s="66"/>
      <c r="F65" s="66"/>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25</v>
      </c>
      <c r="C66" s="8">
        <f t="shared" si="2"/>
        <v>16777216</v>
      </c>
      <c r="D66" s="31"/>
      <c r="E66" s="66"/>
      <c r="F66" s="66"/>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26</v>
      </c>
      <c r="C67" s="8">
        <f t="shared" si="2"/>
        <v>33554432</v>
      </c>
      <c r="D67" s="31"/>
      <c r="E67" s="66"/>
      <c r="F67" s="66"/>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27</v>
      </c>
      <c r="C68" s="8">
        <f t="shared" si="2"/>
        <v>67108864</v>
      </c>
      <c r="D68" s="31"/>
      <c r="E68" s="66"/>
      <c r="F68" s="66"/>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28</v>
      </c>
      <c r="C69" s="8">
        <f t="shared" si="2"/>
        <v>134217728</v>
      </c>
      <c r="D69" s="31"/>
      <c r="E69" s="66"/>
      <c r="F69" s="66"/>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29</v>
      </c>
      <c r="C70" s="8">
        <f t="shared" si="2"/>
        <v>268435456</v>
      </c>
      <c r="D70" s="31"/>
      <c r="E70" s="66"/>
      <c r="F70" s="66"/>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30</v>
      </c>
      <c r="C71" s="8">
        <f t="shared" si="2"/>
        <v>536870912</v>
      </c>
      <c r="D71" s="31"/>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31</v>
      </c>
      <c r="C72" s="8">
        <f t="shared" si="2"/>
        <v>1073741824</v>
      </c>
      <c r="D72" s="31"/>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32</v>
      </c>
      <c r="C73" s="8">
        <f t="shared" si="2"/>
        <v>2147483648</v>
      </c>
      <c r="D73" s="31"/>
      <c r="E73" s="66"/>
      <c r="F73" s="66"/>
      <c r="G73" s="66"/>
      <c r="H73" s="66"/>
      <c r="I73" s="66"/>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33</v>
      </c>
      <c r="C74" s="8">
        <f t="shared" si="2"/>
        <v>4294967296</v>
      </c>
      <c r="D74" s="31"/>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34</v>
      </c>
      <c r="C75" s="8">
        <f t="shared" si="2"/>
        <v>8589934592</v>
      </c>
      <c r="D75" s="31"/>
      <c r="E75" s="66"/>
      <c r="F75" s="66"/>
      <c r="G75" s="66"/>
      <c r="H75" s="66"/>
      <c r="I75" s="94"/>
      <c r="J75" s="95"/>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35</v>
      </c>
      <c r="C76" s="8">
        <f t="shared" si="2"/>
        <v>17179869184</v>
      </c>
      <c r="D76" s="31"/>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36</v>
      </c>
      <c r="C77" s="8">
        <f t="shared" si="2"/>
        <v>34359738368</v>
      </c>
      <c r="D77" s="31"/>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37</v>
      </c>
      <c r="C78" s="8">
        <f t="shared" si="2"/>
        <v>68719476736</v>
      </c>
      <c r="D78" s="31"/>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38</v>
      </c>
      <c r="C79" s="8">
        <f t="shared" si="2"/>
        <v>137438953472</v>
      </c>
      <c r="D79" s="31"/>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39</v>
      </c>
      <c r="C80" s="8">
        <f t="shared" si="2"/>
        <v>274877906944</v>
      </c>
      <c r="D80" s="31"/>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40</v>
      </c>
      <c r="C81" s="8">
        <f t="shared" si="2"/>
        <v>549755813888</v>
      </c>
      <c r="D81" s="31"/>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41</v>
      </c>
      <c r="D82" s="28"/>
      <c r="E82" s="61"/>
      <c r="F82" s="61"/>
      <c r="G82" s="61"/>
      <c r="H82" s="61"/>
      <c r="I82" s="61"/>
      <c r="J82" s="61"/>
      <c r="K82" s="61"/>
      <c r="L82" s="61"/>
      <c r="M82" s="61"/>
      <c r="N82" s="61"/>
      <c r="O82" s="61"/>
      <c r="P82" s="61"/>
      <c r="Q82" s="61"/>
      <c r="R82" s="61"/>
      <c r="S82" s="61"/>
      <c r="T82" s="61"/>
      <c r="U82" s="61"/>
      <c r="V82" s="61"/>
      <c r="W82" s="61"/>
      <c r="X82" s="61"/>
      <c r="Y82" s="61"/>
      <c r="Z82" s="61"/>
      <c r="AA82" s="61"/>
      <c r="AB82" s="61"/>
      <c r="AC82" s="61"/>
      <c r="AD82" s="61"/>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G82" s="61"/>
      <c r="BH82" s="61"/>
      <c r="BI82" s="61"/>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42</v>
      </c>
      <c r="D83" s="28"/>
      <c r="E83" s="61"/>
      <c r="F83" s="61"/>
      <c r="G83" s="61"/>
      <c r="H83" s="61"/>
      <c r="I83" s="61"/>
      <c r="J83" s="61"/>
      <c r="K83" s="61"/>
      <c r="L83" s="61"/>
      <c r="M83" s="61"/>
      <c r="N83" s="61"/>
      <c r="O83" s="61"/>
      <c r="P83" s="61"/>
      <c r="Q83" s="61"/>
      <c r="R83" s="61"/>
      <c r="S83" s="61"/>
      <c r="T83" s="61"/>
      <c r="U83" s="61"/>
      <c r="V83" s="61"/>
      <c r="W83" s="61"/>
      <c r="X83" s="61"/>
      <c r="Y83" s="61"/>
      <c r="Z83" s="61"/>
      <c r="AA83" s="61"/>
      <c r="AB83" s="61"/>
      <c r="AC83" s="61"/>
      <c r="AD83" s="61"/>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c r="BG83" s="61"/>
      <c r="BH83" s="61"/>
      <c r="BI83" s="61"/>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43</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44</v>
      </c>
      <c r="E85" s="63"/>
      <c r="F85" s="63"/>
      <c r="G85" s="63"/>
      <c r="H85" s="63"/>
      <c r="I85" s="63"/>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c r="BJ85" s="63"/>
    </row>
    <row r="86" spans="2:193" x14ac:dyDescent="0.3">
      <c r="B86" s="20">
        <v>45</v>
      </c>
      <c r="E86" s="63"/>
      <c r="F86" s="63"/>
      <c r="G86" s="63"/>
      <c r="H86" s="63"/>
      <c r="I86" s="63"/>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63"/>
      <c r="BJ86" s="63"/>
    </row>
    <row r="87" spans="2:193" x14ac:dyDescent="0.3">
      <c r="B87" s="20">
        <v>46</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47</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48</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49</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50</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51</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52</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53</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54</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55</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56</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57</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58</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59</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60</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61</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62</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63</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64</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65</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66</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67</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68</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69</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70</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71</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72</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73</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74</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75</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76</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77</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78</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79</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80</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81</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82</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83</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84</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85</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86</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87</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2" x14ac:dyDescent="0.3">
      <c r="B129" s="20">
        <v>88</v>
      </c>
    </row>
    <row r="130" spans="2:2" x14ac:dyDescent="0.3">
      <c r="B130" s="20">
        <v>89</v>
      </c>
    </row>
    <row r="131" spans="2:2" x14ac:dyDescent="0.3">
      <c r="B131" s="20">
        <v>90</v>
      </c>
    </row>
    <row r="132" spans="2:2" x14ac:dyDescent="0.3">
      <c r="B132" s="20">
        <v>91</v>
      </c>
    </row>
    <row r="133" spans="2:2" x14ac:dyDescent="0.3">
      <c r="B133" s="20">
        <v>92</v>
      </c>
    </row>
    <row r="134" spans="2:2" x14ac:dyDescent="0.3">
      <c r="B134" s="20">
        <v>93</v>
      </c>
    </row>
    <row r="135" spans="2:2" x14ac:dyDescent="0.3">
      <c r="B135" s="20">
        <v>94</v>
      </c>
    </row>
    <row r="136" spans="2:2" x14ac:dyDescent="0.3">
      <c r="B136" s="20">
        <v>95</v>
      </c>
    </row>
    <row r="137" spans="2:2" x14ac:dyDescent="0.3">
      <c r="B137" s="20">
        <v>96</v>
      </c>
    </row>
    <row r="138" spans="2:2" x14ac:dyDescent="0.3">
      <c r="B138" s="20">
        <v>97</v>
      </c>
    </row>
    <row r="139" spans="2:2" x14ac:dyDescent="0.3">
      <c r="B139" s="20">
        <v>98</v>
      </c>
    </row>
    <row r="140" spans="2:2" x14ac:dyDescent="0.3">
      <c r="B140" s="20">
        <v>99</v>
      </c>
    </row>
    <row r="141" spans="2:2" x14ac:dyDescent="0.3">
      <c r="B141" s="20">
        <v>100</v>
      </c>
    </row>
  </sheetData>
  <sheetProtection sheet="1" formatCells="0" insertHyperlinks="0"/>
  <dataConsolidate link="1"/>
  <mergeCells count="14">
    <mergeCell ref="E7:F7"/>
    <mergeCell ref="E2:F2"/>
    <mergeCell ref="E3:F3"/>
    <mergeCell ref="E4:F4"/>
    <mergeCell ref="E5:F5"/>
    <mergeCell ref="E6:F6"/>
    <mergeCell ref="B39:D39"/>
    <mergeCell ref="I75:J75"/>
    <mergeCell ref="E8:F8"/>
    <mergeCell ref="E9:F9"/>
    <mergeCell ref="E10:F10"/>
    <mergeCell ref="E11:F11"/>
    <mergeCell ref="E12:F12"/>
    <mergeCell ref="E16:F16"/>
  </mergeCells>
  <conditionalFormatting sqref="B42:B151">
    <cfRule type="expression" dxfId="421" priority="10">
      <formula>$E$5&gt;=ROW(B42)-ROW($B$41)</formula>
    </cfRule>
  </conditionalFormatting>
  <conditionalFormatting sqref="B42:BH74 B76:BH151 B75:I75 K75:BH75">
    <cfRule type="expression" dxfId="420" priority="9">
      <formula>$E$5&gt;=ROW(B42)-ROW($B$41)</formula>
    </cfRule>
  </conditionalFormatting>
  <conditionalFormatting sqref="E38:F39">
    <cfRule type="expression" dxfId="419" priority="1">
      <formula>$E$38&gt;2000</formula>
    </cfRule>
    <cfRule type="expression" dxfId="418" priority="2">
      <formula>$E$38&gt;2000</formula>
    </cfRule>
    <cfRule type="expression" dxfId="417" priority="3">
      <formula>$E$38&gt;2000</formula>
    </cfRule>
    <cfRule type="expression" dxfId="416" priority="4">
      <formula>$E$38&gt;2000</formula>
    </cfRule>
    <cfRule type="expression" dxfId="415" priority="5">
      <formula>$E$38&gt;2000</formula>
    </cfRule>
    <cfRule type="expression" dxfId="414" priority="6">
      <formula>$E$38&gt;2000</formula>
    </cfRule>
    <cfRule type="expression" dxfId="413" priority="7">
      <formula>$E$38&gt;2000</formula>
    </cfRule>
    <cfRule type="expression" dxfId="412" priority="8">
      <formula>$E$38&gt;2000</formula>
    </cfRule>
  </conditionalFormatting>
  <dataValidations count="8">
    <dataValidation type="whole" allowBlank="1" showInputMessage="1" showErrorMessage="1" errorTitle="Falscher Wert" error="Die Anzahl der Ausgabekanäle muss zwischen 1 und 765 liegen" sqref="E5:F5" xr:uid="{00000000-0002-0000-0100-000000000000}">
      <formula1>1</formula1>
      <formula2>765</formula2>
    </dataValidation>
    <dataValidation type="whole" allowBlank="1" showInputMessage="1" showErrorMessage="1" errorTitle="Falscher Wert" error="&quot;Wert Max&quot; mus zwischen 0 und 255 liegen" sqref="E8:F8" xr:uid="{00000000-0002-0000-0100-000001000000}">
      <formula1>0</formula1>
      <formula2>255</formula2>
    </dataValidation>
    <dataValidation type="whole" allowBlank="1" showInputMessage="1" showErrorMessage="1" errorTitle="Falscher Wert" error="&quot;Wert ausgeschaltet&quot; muss zwischen 0 und 255 liegen." sqref="E9:F9" xr:uid="{00000000-0002-0000-01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100-000003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100-000004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100-000005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100-000006000000}">
      <formula1>0</formula1>
      <formula2>255</formula2>
    </dataValidation>
    <dataValidation type="decimal" allowBlank="1" showErrorMessage="1" errorTitle="Falscher Wert" error="&quot;Bits pro Wert&quot; muss zwischen 1 und 8 liegen" sqref="E6:F6" xr:uid="{00000000-0002-0000-0100-000007000000}">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1"/>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68</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APatternT2(0,192,SI_1,1,0,255,0,PM_HSV,60 Sek,0 ms,1)</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67</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Heartbeat_Hue(LED,InNr)                       APatternT2(LED,192,InNr,1,0,255,0,PM_HSV,60 Sek,0 ms,1)</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Heartbeat_Hue_StCh(LED,StCh,InNr)     APatternT2(LED,StCh+192,InNr,1,0,255,0,PM_HSV,60 Sek,0 ms,1)</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70</v>
      </c>
      <c r="F21" s="26" t="s">
        <v>71</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60 Sek</v>
      </c>
      <c r="F22" s="13" t="str">
        <f t="shared" ref="F22:AJ22" si="0">IF(AND(_xlfn.ISFORMULA(F21),G22=""),"",IF(F21&lt;&gt;"",F21,""))</f>
        <v>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,60 Sek</v>
      </c>
      <c r="F23" s="2" t="str">
        <f t="shared" ref="F23:AJ23" si="1">IF(OR(F22&lt;&gt;"",G23&lt;&gt;""),CONCATENATE(",",IF(F22="","!",F22)),"")</f>
        <v>,0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,60 Sek,0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192</v>
      </c>
      <c r="F28" s="2" t="str">
        <f>DEC2BIN(E28,8)</f>
        <v>11000000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192</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6:,1</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6</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1,0,255,0,PM_HSV,60 Sek,0 ms,1)</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Heartbeat_Hue(LED,NStru,InNr)    APatternT2(LED,NStru,InNr,1,0,255,0,PM_HSV,60 Sek,0 ms,1)</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16</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66</v>
      </c>
      <c r="E40" s="45" t="s">
        <v>0</v>
      </c>
      <c r="F40" s="45" t="s">
        <v>59</v>
      </c>
      <c r="G40" s="45"/>
      <c r="H40" s="45"/>
      <c r="I40" s="45"/>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411" priority="8">
      <formula>$E$5&gt;=ROW(B40)-ROW($B$39)</formula>
    </cfRule>
  </conditionalFormatting>
  <conditionalFormatting sqref="B40:BH72 B74:BH149 B73:I73 K73:BH73">
    <cfRule type="expression" dxfId="410" priority="7">
      <formula>$E$5&gt;=ROW(B40)-ROW($B$39)</formula>
    </cfRule>
  </conditionalFormatting>
  <conditionalFormatting sqref="E37:F37">
    <cfRule type="expression" dxfId="409" priority="1">
      <formula>$E$37&gt;2000</formula>
    </cfRule>
    <cfRule type="expression" dxfId="408" priority="2">
      <formula>$E$37&gt;2000</formula>
    </cfRule>
    <cfRule type="expression" dxfId="407" priority="3">
      <formula>$E$37&gt;2000</formula>
    </cfRule>
    <cfRule type="expression" dxfId="406" priority="4">
      <formula>$E$37&gt;2000</formula>
    </cfRule>
    <cfRule type="expression" dxfId="405" priority="5">
      <formula>$E$37&gt;2000</formula>
    </cfRule>
    <cfRule type="expression" dxfId="404" priority="6">
      <formula>$E$37&gt;2000</formula>
    </cfRule>
  </conditionalFormatting>
  <dataValidations disablePrompts="1" count="8">
    <dataValidation type="whole" allowBlank="1" showInputMessage="1" showErrorMessage="1" errorTitle="Falscher Wert" error="&quot;Wert Max&quot; mus zwischen 0 und 255 liegen" sqref="E8:F8" xr:uid="{00000000-0002-0000-0300-000000000000}">
      <formula1>0</formula1>
      <formula2>255</formula2>
    </dataValidation>
    <dataValidation type="whole" allowBlank="1" showInputMessage="1" showErrorMessage="1" errorTitle="Falscher Wert" error="&quot;Wert ausgeschaltet&quot; muss zwischen 0 und 255 liegen." sqref="E9:F9" xr:uid="{00000000-0002-0000-03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3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3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3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300-000005000000}">
      <formula1>0</formula1>
      <formula2>255</formula2>
    </dataValidation>
    <dataValidation type="decimal" allowBlank="1" showErrorMessage="1" errorTitle="Falscher Wert" error="&quot;Bits pro Wert&quot; muss zwischen 1 und 8 liegen" sqref="E6:F6" xr:uid="{00000000-0002-0000-0300-000006000000}">
      <formula1>1</formula1>
      <formula2>8</formula2>
    </dataValidation>
    <dataValidation type="whole" allowBlank="1" showInputMessage="1" showErrorMessage="1" errorTitle="Falscher Wert" error="Die Anzahl der Ausgabekanäle muss zwischen 1 und 765 liegen" sqref="E5:F5" xr:uid="{00000000-0002-0000-03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2"/>
  <dimension ref="B1:GM139"/>
  <sheetViews>
    <sheetView showGridLines="0" workbookViewId="0">
      <selection activeCell="H64" sqref="H64"/>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2</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10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73</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APatternT1(0,194,SI_1,1,10,255,0,PM_HSV|PF_EASEINOUT,1 Sek,1)</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69</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Heartbeat_Val(LED,InNr)                       APatternT1(LED,194,InNr,1,10,255,0,PM_HSV|PF_EASEINOUT,1 Sek,1)</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Heartbeat_Val_StCh(LED,StCh,InNr)     APatternT1(LED,StCh+192,InNr,1,10,255,0,PM_HSV|PF_EASEINOUT,1 Sek,1)</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72</v>
      </c>
      <c r="F21" s="26"/>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 Sek</v>
      </c>
      <c r="F22" s="13" t="str">
        <f t="shared" ref="F22:AJ22" si="0">IF(AND(_xlfn.ISFORMULA(F21),G22=""),"",IF(F21&lt;&gt;"",F21,""))</f>
        <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 Sek</v>
      </c>
      <c r="F23" s="2" t="str">
        <f t="shared" ref="F23:AJ23" si="1">IF(OR(F22&lt;&gt;"",G23&lt;&gt;""),CONCATENATE(",",IF(F22="","!",F22)),"")</f>
        <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 Sek</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APatternT1(</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194</v>
      </c>
      <c r="F28" s="2" t="str">
        <f>DEC2BIN(E28,8)</f>
        <v>11000010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192</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6:,1</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6</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1,10,255,0,PM_HSV|PF_EASEINOUT,1 Sek,1)</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Heartbeat_Val(LED,NStru,InNr)    APatternT1(LED,NStru,InNr,1,10,255,0,PM_HSV|PF_EASEINOUT,1 Sek,1)</v>
      </c>
      <c r="F34" s="2"/>
      <c r="G34" s="2"/>
      <c r="H34" s="2"/>
      <c r="I34" s="2"/>
      <c r="J34" s="2"/>
      <c r="X34" s="2"/>
      <c r="Y34" s="14"/>
      <c r="Z34" s="2"/>
      <c r="AA34" s="2"/>
      <c r="AB34" s="2"/>
    </row>
    <row r="35" spans="2:193" hidden="1" x14ac:dyDescent="0.3">
      <c r="D35" s="17" t="s">
        <v>21</v>
      </c>
      <c r="E35" s="18">
        <v>11</v>
      </c>
      <c r="G35" s="17" t="s">
        <v>20</v>
      </c>
      <c r="H35" s="18">
        <f>2*(32-COUNTIF(E22:AJ22,""))</f>
        <v>2</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14</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66</v>
      </c>
      <c r="E40" s="45" t="s">
        <v>0</v>
      </c>
      <c r="F40" s="45" t="s">
        <v>59</v>
      </c>
      <c r="G40" s="45"/>
      <c r="H40" s="45"/>
      <c r="I40" s="45"/>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403" priority="8">
      <formula>$E$5&gt;=ROW(B40)-ROW($B$39)</formula>
    </cfRule>
  </conditionalFormatting>
  <conditionalFormatting sqref="B40:BH72 B74:BH149 B73:I73 K73:BH73">
    <cfRule type="expression" dxfId="402" priority="7">
      <formula>$E$5&gt;=ROW(B40)-ROW($B$39)</formula>
    </cfRule>
  </conditionalFormatting>
  <conditionalFormatting sqref="E37:F37">
    <cfRule type="expression" dxfId="401" priority="1">
      <formula>$E$37&gt;2000</formula>
    </cfRule>
    <cfRule type="expression" dxfId="400" priority="2">
      <formula>$E$37&gt;2000</formula>
    </cfRule>
    <cfRule type="expression" dxfId="399" priority="3">
      <formula>$E$37&gt;2000</formula>
    </cfRule>
    <cfRule type="expression" dxfId="398" priority="4">
      <formula>$E$37&gt;2000</formula>
    </cfRule>
    <cfRule type="expression" dxfId="397" priority="5">
      <formula>$E$37&gt;2000</formula>
    </cfRule>
    <cfRule type="expression" dxfId="396" priority="6">
      <formula>$E$37&gt;2000</formula>
    </cfRule>
  </conditionalFormatting>
  <dataValidations count="8">
    <dataValidation type="decimal" allowBlank="1" showErrorMessage="1" errorTitle="Falscher Wert" error="&quot;Bits pro Wert&quot; muss zwischen 1 und 8 liegen" sqref="E6:F6" xr:uid="{00000000-0002-0000-0400-000000000000}">
      <formula1>1</formula1>
      <formula2>8</formula2>
    </dataValidation>
    <dataValidation type="whole" allowBlank="1" showInputMessage="1" showErrorMessage="1" errorTitle="Falscher Wert" error="&quot;Wert Min&quot; muss zwischen 0 und 255 liegen" sqref="E7:F7" xr:uid="{00000000-0002-0000-04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4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4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4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400-000005000000}">
      <formula1>0</formula1>
      <formula2>255</formula2>
    </dataValidation>
    <dataValidation type="whole" allowBlank="1" showInputMessage="1" showErrorMessage="1" errorTitle="Falscher Wert" error="&quot;Wert Max&quot; mus zwischen 0 und 255 liegen" sqref="E8:F8" xr:uid="{00000000-0002-0000-0400-000006000000}">
      <formula1>0</formula1>
      <formula2>255</formula2>
    </dataValidation>
    <dataValidation type="whole" allowBlank="1" showInputMessage="1" showErrorMessage="1" errorTitle="Falscher Wert" error="Die Anzahl der Ausgabekanäle muss zwischen 1 und 765 liegen" sqref="E5:F5" xr:uid="{00000000-0002-0000-04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3"/>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44" width="6.6640625" customWidth="1"/>
    <col min="45" max="60" width="7.4414062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9</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APatternT2(0,0,SI_1,9,0,255,0,0,100 ms,200 ms,1,2,12,24,112,224,192,131,7,31,62,252,248,241,231,207,191,127,255,255,3,0,16,32,128,0,1,4,8,32,64,0,1,2,8,16,64,128,0,2,4,16,32,0,0)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84</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ConstrWarnLight(LED,InNr)                       APatternT2(LED,0,InNr,9,0,255,0,0,100 ms,200 ms,1,2,12,24,112,224,192,131,7,31,62,252,248,241,231,207,191,127,255,255,3,0,16,32,128,0,1,4,8,32,64,0,1,2,8,16,64,128,0,2,4,16,32,0,0)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ConstrWarnLight_StCh(LED,StCh,InNr)     APatternT2(LED,StCh+0,InNr,9,0,255,0,0,100 ms,200 ms,1,2,12,24,112,224,192,131,7,31,62,252,248,241,231,207,191,127,255,255,3,0,16,32,128,0,1,4,8,32,64,0,1,2,8,16,64,128,0,2,4,16,32,0,0)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64</v>
      </c>
      <c r="F21" s="26" t="s">
        <v>63</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100 ms</v>
      </c>
      <c r="F22" s="13" t="str">
        <f t="shared" ref="F22:AJ22" si="0">IF(AND(_xlfn.ISFORMULA(F21),G22=""),"",IF(F21&lt;&gt;"",F21,""))</f>
        <v>200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,100 ms</v>
      </c>
      <c r="F23" s="2" t="str">
        <f t="shared" ref="F23:AJ23" si="1">IF(OR(F22&lt;&gt;"",G23&lt;&gt;""),CONCATENATE(",",IF(F22="","!",F22)),"")</f>
        <v>,200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,100 ms,200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0:,1,2,12,24,112,224,192,131,7,31,62,252,248,241,231,207,191,127,255,255,3,0,16,32,128,0,1,4,8,32,64,0,1,2,8,16,64,128,0,2,4,16,32,0,0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,1,2,12,24,112,224,192,131,7,31,62,252,248,241,231,207,191,127,255,255,3,0,16,32,128,0,1,4,8,32,64,0,1,2,8,16,64,128,0,2,4,16,32,0,0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9,0,255,0,0,100 ms,200 ms,1,2,12,24,112,224,192,131,7,31,62,252,248,241,231,207,191,127,255,255,3,0,16,32,128,0,1,4,8,32,64,0,1,2,8,16,64,128,0,2,4,16,32,0,0)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ConstrWarnLight(LED,NStru,InNr)    APatternT2(LED,NStru,InNr,9,0,255,0,0,100 ms,200 ms,1,2,12,24,112,224,192,131,7,31,62,252,248,241,231,207,191,127,255,255,3,0,16,32,128,0,1,4,8,32,64,0,1,2,8,16,64,128,0,2,4,16,32,0,0)</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45</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60</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74</v>
      </c>
      <c r="E40" s="45" t="s">
        <v>0</v>
      </c>
      <c r="F40" s="45" t="s">
        <v>0</v>
      </c>
      <c r="G40" s="45" t="s">
        <v>0</v>
      </c>
      <c r="H40" s="45" t="s">
        <v>0</v>
      </c>
      <c r="I40" s="45" t="s">
        <v>0</v>
      </c>
      <c r="J40" s="45" t="s">
        <v>0</v>
      </c>
      <c r="K40" s="45" t="s">
        <v>0</v>
      </c>
      <c r="L40" s="45" t="s">
        <v>0</v>
      </c>
      <c r="M40" s="45" t="s">
        <v>0</v>
      </c>
      <c r="N40" s="45" t="s">
        <v>0</v>
      </c>
      <c r="O40" s="45" t="s">
        <v>0</v>
      </c>
      <c r="P40" s="45" t="s">
        <v>0</v>
      </c>
      <c r="Q40" s="45" t="s">
        <v>0</v>
      </c>
      <c r="R40" s="45" t="s">
        <v>0</v>
      </c>
      <c r="S40" s="45" t="s">
        <v>0</v>
      </c>
      <c r="T40" s="45" t="s">
        <v>0</v>
      </c>
      <c r="U40" s="45" t="s">
        <v>0</v>
      </c>
      <c r="V40" s="45" t="s">
        <v>0</v>
      </c>
      <c r="W40" s="45" t="s">
        <v>59</v>
      </c>
      <c r="X40" s="45" t="s">
        <v>59</v>
      </c>
      <c r="Y40" s="45" t="s">
        <v>0</v>
      </c>
      <c r="Z40" s="45" t="s">
        <v>0</v>
      </c>
      <c r="AA40" s="45"/>
      <c r="AB40" s="45"/>
      <c r="AC40" s="45"/>
      <c r="AD40" s="45"/>
      <c r="AE40" s="45"/>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t="s">
        <v>75</v>
      </c>
      <c r="E41" s="45"/>
      <c r="F41" s="45"/>
      <c r="G41" s="45" t="s">
        <v>0</v>
      </c>
      <c r="H41" s="45" t="s">
        <v>0</v>
      </c>
      <c r="I41" s="45" t="s">
        <v>0</v>
      </c>
      <c r="J41" s="45" t="s">
        <v>0</v>
      </c>
      <c r="K41" s="45" t="s">
        <v>0</v>
      </c>
      <c r="L41" s="45" t="s">
        <v>0</v>
      </c>
      <c r="M41" s="45" t="s">
        <v>0</v>
      </c>
      <c r="N41" s="45" t="s">
        <v>0</v>
      </c>
      <c r="O41" s="45" t="s">
        <v>0</v>
      </c>
      <c r="P41" s="45" t="s">
        <v>0</v>
      </c>
      <c r="Q41" s="45" t="s">
        <v>0</v>
      </c>
      <c r="R41" s="45" t="s">
        <v>0</v>
      </c>
      <c r="S41" s="45" t="s">
        <v>0</v>
      </c>
      <c r="T41" s="45" t="s">
        <v>0</v>
      </c>
      <c r="U41" s="45" t="s">
        <v>0</v>
      </c>
      <c r="V41" s="45" t="s">
        <v>0</v>
      </c>
      <c r="W41" s="45"/>
      <c r="X41" s="45"/>
      <c r="Y41" s="45"/>
      <c r="Z41" s="45"/>
      <c r="AA41" s="45" t="s">
        <v>0</v>
      </c>
      <c r="AB41" s="45" t="s">
        <v>0</v>
      </c>
      <c r="AC41" s="45"/>
      <c r="AD41" s="45"/>
      <c r="AE41" s="45"/>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t="s">
        <v>76</v>
      </c>
      <c r="E42" s="45"/>
      <c r="F42" s="45"/>
      <c r="G42" s="45"/>
      <c r="H42" s="45"/>
      <c r="I42" s="45" t="s">
        <v>0</v>
      </c>
      <c r="J42" s="45" t="s">
        <v>0</v>
      </c>
      <c r="K42" s="45" t="s">
        <v>0</v>
      </c>
      <c r="L42" s="45" t="s">
        <v>0</v>
      </c>
      <c r="M42" s="45" t="s">
        <v>0</v>
      </c>
      <c r="N42" s="45" t="s">
        <v>0</v>
      </c>
      <c r="O42" s="45" t="s">
        <v>0</v>
      </c>
      <c r="P42" s="45" t="s">
        <v>0</v>
      </c>
      <c r="Q42" s="45" t="s">
        <v>0</v>
      </c>
      <c r="R42" s="45" t="s">
        <v>0</v>
      </c>
      <c r="S42" s="45" t="s">
        <v>0</v>
      </c>
      <c r="T42" s="45" t="s">
        <v>0</v>
      </c>
      <c r="U42" s="45" t="s">
        <v>0</v>
      </c>
      <c r="V42" s="45" t="s">
        <v>0</v>
      </c>
      <c r="W42" s="45"/>
      <c r="X42" s="45"/>
      <c r="Y42" s="45"/>
      <c r="Z42" s="45"/>
      <c r="AA42" s="45"/>
      <c r="AB42" s="45"/>
      <c r="AC42" s="45" t="s">
        <v>0</v>
      </c>
      <c r="AD42" s="45" t="s">
        <v>0</v>
      </c>
      <c r="AE42" s="45"/>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5" t="s">
        <v>77</v>
      </c>
      <c r="E43" s="45"/>
      <c r="F43" s="45"/>
      <c r="G43" s="45"/>
      <c r="H43" s="45"/>
      <c r="I43" s="45"/>
      <c r="J43" s="45"/>
      <c r="K43" s="45" t="s">
        <v>0</v>
      </c>
      <c r="L43" s="45" t="s">
        <v>0</v>
      </c>
      <c r="M43" s="45" t="s">
        <v>0</v>
      </c>
      <c r="N43" s="45" t="s">
        <v>0</v>
      </c>
      <c r="O43" s="45" t="s">
        <v>0</v>
      </c>
      <c r="P43" s="45" t="s">
        <v>0</v>
      </c>
      <c r="Q43" s="45" t="s">
        <v>0</v>
      </c>
      <c r="R43" s="45" t="s">
        <v>0</v>
      </c>
      <c r="S43" s="45" t="s">
        <v>0</v>
      </c>
      <c r="T43" s="45" t="s">
        <v>0</v>
      </c>
      <c r="U43" s="45" t="s">
        <v>0</v>
      </c>
      <c r="V43" s="45" t="s">
        <v>0</v>
      </c>
      <c r="W43" s="45"/>
      <c r="X43" s="45"/>
      <c r="Y43" s="45"/>
      <c r="Z43" s="45"/>
      <c r="AA43" s="45"/>
      <c r="AB43" s="45"/>
      <c r="AC43" s="45"/>
      <c r="AD43" s="45"/>
      <c r="AE43" s="45" t="s">
        <v>0</v>
      </c>
      <c r="AF43" s="30" t="s">
        <v>0</v>
      </c>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45" t="s">
        <v>78</v>
      </c>
      <c r="E44" s="45"/>
      <c r="F44" s="45"/>
      <c r="G44" s="45"/>
      <c r="H44" s="45"/>
      <c r="I44" s="45"/>
      <c r="J44" s="45"/>
      <c r="K44" s="45"/>
      <c r="L44" s="45"/>
      <c r="M44" s="45" t="s">
        <v>0</v>
      </c>
      <c r="N44" s="45" t="s">
        <v>0</v>
      </c>
      <c r="O44" s="45" t="s">
        <v>0</v>
      </c>
      <c r="P44" s="45" t="s">
        <v>0</v>
      </c>
      <c r="Q44" s="45" t="s">
        <v>0</v>
      </c>
      <c r="R44" s="45" t="s">
        <v>0</v>
      </c>
      <c r="S44" s="45" t="s">
        <v>0</v>
      </c>
      <c r="T44" s="45" t="s">
        <v>0</v>
      </c>
      <c r="U44" s="45" t="s">
        <v>0</v>
      </c>
      <c r="V44" s="45" t="s">
        <v>0</v>
      </c>
      <c r="W44" s="45"/>
      <c r="X44" s="45"/>
      <c r="Y44" s="45"/>
      <c r="Z44" s="45"/>
      <c r="AA44" s="45"/>
      <c r="AB44" s="45"/>
      <c r="AC44" s="45"/>
      <c r="AD44" s="45"/>
      <c r="AE44" s="45"/>
      <c r="AF44" s="30"/>
      <c r="AG44" s="30" t="s">
        <v>0</v>
      </c>
      <c r="AH44" s="30" t="s">
        <v>0</v>
      </c>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45" t="s">
        <v>79</v>
      </c>
      <c r="E45" s="45"/>
      <c r="F45" s="45"/>
      <c r="G45" s="45"/>
      <c r="H45" s="45"/>
      <c r="I45" s="45"/>
      <c r="J45" s="45"/>
      <c r="K45" s="45"/>
      <c r="L45" s="45"/>
      <c r="M45" s="45"/>
      <c r="N45" s="45"/>
      <c r="O45" s="45" t="s">
        <v>0</v>
      </c>
      <c r="P45" s="45" t="s">
        <v>0</v>
      </c>
      <c r="Q45" s="45" t="s">
        <v>0</v>
      </c>
      <c r="R45" s="45" t="s">
        <v>0</v>
      </c>
      <c r="S45" s="45" t="s">
        <v>0</v>
      </c>
      <c r="T45" s="45" t="s">
        <v>0</v>
      </c>
      <c r="U45" s="45" t="s">
        <v>0</v>
      </c>
      <c r="V45" s="45" t="s">
        <v>0</v>
      </c>
      <c r="W45" s="45"/>
      <c r="X45" s="45"/>
      <c r="Y45" s="45"/>
      <c r="Z45" s="45"/>
      <c r="AA45" s="45"/>
      <c r="AB45" s="45"/>
      <c r="AC45" s="45"/>
      <c r="AD45" s="45"/>
      <c r="AE45" s="45"/>
      <c r="AF45" s="30"/>
      <c r="AG45" s="30"/>
      <c r="AH45" s="30"/>
      <c r="AI45" s="30" t="s">
        <v>0</v>
      </c>
      <c r="AJ45" s="30" t="s">
        <v>0</v>
      </c>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5" t="s">
        <v>80</v>
      </c>
      <c r="E46" s="45"/>
      <c r="F46" s="45"/>
      <c r="G46" s="45"/>
      <c r="H46" s="45"/>
      <c r="I46" s="45"/>
      <c r="J46" s="45"/>
      <c r="K46" s="45"/>
      <c r="L46" s="45"/>
      <c r="M46" s="45"/>
      <c r="N46" s="45"/>
      <c r="O46" s="45"/>
      <c r="P46" s="45"/>
      <c r="Q46" s="45" t="s">
        <v>0</v>
      </c>
      <c r="R46" s="45" t="s">
        <v>0</v>
      </c>
      <c r="S46" s="45" t="s">
        <v>0</v>
      </c>
      <c r="T46" s="45" t="s">
        <v>0</v>
      </c>
      <c r="U46" s="45" t="s">
        <v>0</v>
      </c>
      <c r="V46" s="45" t="s">
        <v>0</v>
      </c>
      <c r="W46" s="45"/>
      <c r="X46" s="45"/>
      <c r="Y46" s="45"/>
      <c r="Z46" s="45"/>
      <c r="AA46" s="45"/>
      <c r="AB46" s="45"/>
      <c r="AC46" s="45"/>
      <c r="AD46" s="45"/>
      <c r="AE46" s="45"/>
      <c r="AF46" s="30"/>
      <c r="AG46" s="30"/>
      <c r="AH46" s="30"/>
      <c r="AI46" s="30"/>
      <c r="AJ46" s="30"/>
      <c r="AK46" s="30" t="s">
        <v>0</v>
      </c>
      <c r="AL46" s="30" t="s">
        <v>0</v>
      </c>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5" t="s">
        <v>81</v>
      </c>
      <c r="E47" s="45"/>
      <c r="F47" s="45"/>
      <c r="G47" s="45"/>
      <c r="H47" s="45"/>
      <c r="I47" s="45"/>
      <c r="J47" s="45"/>
      <c r="K47" s="45"/>
      <c r="L47" s="45"/>
      <c r="M47" s="45"/>
      <c r="N47" s="45"/>
      <c r="O47" s="45"/>
      <c r="P47" s="45"/>
      <c r="Q47" s="45"/>
      <c r="R47" s="45"/>
      <c r="S47" s="45" t="s">
        <v>0</v>
      </c>
      <c r="T47" s="45" t="s">
        <v>0</v>
      </c>
      <c r="U47" s="45" t="s">
        <v>0</v>
      </c>
      <c r="V47" s="45" t="s">
        <v>0</v>
      </c>
      <c r="W47" s="45"/>
      <c r="X47" s="45"/>
      <c r="Y47" s="45"/>
      <c r="Z47" s="45"/>
      <c r="AA47" s="45"/>
      <c r="AB47" s="45"/>
      <c r="AC47" s="45"/>
      <c r="AD47" s="45"/>
      <c r="AE47" s="45"/>
      <c r="AF47" s="30"/>
      <c r="AG47" s="30"/>
      <c r="AH47" s="30"/>
      <c r="AI47" s="30"/>
      <c r="AJ47" s="30"/>
      <c r="AK47" s="30"/>
      <c r="AL47" s="30"/>
      <c r="AM47" s="30" t="s">
        <v>0</v>
      </c>
      <c r="AN47" s="30" t="s">
        <v>0</v>
      </c>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5" t="s">
        <v>82</v>
      </c>
      <c r="E48" s="62"/>
      <c r="F48" s="45"/>
      <c r="G48" s="45"/>
      <c r="H48" s="45"/>
      <c r="I48" s="45"/>
      <c r="J48" s="45"/>
      <c r="K48" s="45"/>
      <c r="L48" s="45"/>
      <c r="M48" s="45"/>
      <c r="N48" s="45"/>
      <c r="O48" s="45"/>
      <c r="P48" s="45"/>
      <c r="Q48" s="45"/>
      <c r="R48" s="45"/>
      <c r="S48" s="45"/>
      <c r="T48" s="45"/>
      <c r="U48" s="45" t="s">
        <v>0</v>
      </c>
      <c r="V48" s="45" t="s">
        <v>0</v>
      </c>
      <c r="W48" s="45"/>
      <c r="X48" s="45"/>
      <c r="Y48" s="45"/>
      <c r="Z48" s="45"/>
      <c r="AA48" s="45"/>
      <c r="AB48" s="45"/>
      <c r="AC48" s="45"/>
      <c r="AD48" s="45"/>
      <c r="AE48" s="45"/>
      <c r="AF48" s="30"/>
      <c r="AG48" s="30"/>
      <c r="AH48" s="30"/>
      <c r="AI48" s="30"/>
      <c r="AJ48" s="30"/>
      <c r="AK48" s="30"/>
      <c r="AL48" s="30"/>
      <c r="AM48" s="30"/>
      <c r="AN48" s="30"/>
      <c r="AO48" s="30" t="s">
        <v>0</v>
      </c>
      <c r="AP48" s="30" t="s">
        <v>0</v>
      </c>
      <c r="AQ48" s="30" t="s">
        <v>59</v>
      </c>
      <c r="AR48" s="30" t="s">
        <v>59</v>
      </c>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I73:J73"/>
    <mergeCell ref="E2:F2"/>
    <mergeCell ref="E3:F3"/>
    <mergeCell ref="E4:F4"/>
    <mergeCell ref="E5:F5"/>
    <mergeCell ref="E6:F6"/>
    <mergeCell ref="E7:F7"/>
    <mergeCell ref="E8:F8"/>
    <mergeCell ref="E9:F9"/>
    <mergeCell ref="E10:F10"/>
    <mergeCell ref="E11:F11"/>
    <mergeCell ref="E15:F15"/>
  </mergeCells>
  <conditionalFormatting sqref="B40:B149">
    <cfRule type="expression" dxfId="395" priority="8">
      <formula>$E$5&gt;=ROW(B40)-ROW($B$39)</formula>
    </cfRule>
  </conditionalFormatting>
  <conditionalFormatting sqref="B40:BH72 B74:BH149 B73:I73 K73:BH73">
    <cfRule type="expression" dxfId="394" priority="7">
      <formula>$E$5&gt;=ROW(B40)-ROW($B$39)</formula>
    </cfRule>
  </conditionalFormatting>
  <conditionalFormatting sqref="E37:F37">
    <cfRule type="expression" dxfId="393" priority="1">
      <formula>$E$37&gt;2000</formula>
    </cfRule>
    <cfRule type="expression" dxfId="392" priority="2">
      <formula>$E$37&gt;2000</formula>
    </cfRule>
    <cfRule type="expression" dxfId="391" priority="3">
      <formula>$E$37&gt;2000</formula>
    </cfRule>
    <cfRule type="expression" dxfId="390" priority="4">
      <formula>$E$37&gt;2000</formula>
    </cfRule>
    <cfRule type="expression" dxfId="389" priority="5">
      <formula>$E$37&gt;2000</formula>
    </cfRule>
    <cfRule type="expression" dxfId="388" priority="6">
      <formula>$E$37&gt;2000</formula>
    </cfRule>
  </conditionalFormatting>
  <dataValidations disablePrompts="1" count="8">
    <dataValidation type="whole" allowBlank="1" showInputMessage="1" showErrorMessage="1" errorTitle="Falscher Wert" error="&quot;Wert Max&quot; mus zwischen 0 und 255 liegen" sqref="E8:F8" xr:uid="{00000000-0002-0000-0500-000000000000}">
      <formula1>0</formula1>
      <formula2>255</formula2>
    </dataValidation>
    <dataValidation type="whole" allowBlank="1" showInputMessage="1" showErrorMessage="1" errorTitle="Falscher Wert" error="&quot;Wert ausgeschaltet&quot; muss zwischen 0 und 255 liegen." sqref="E9:F9" xr:uid="{00000000-0002-0000-05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5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5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5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500-000005000000}">
      <formula1>0</formula1>
      <formula2>255</formula2>
    </dataValidation>
    <dataValidation type="decimal" allowBlank="1" showErrorMessage="1" errorTitle="Falscher Wert" error="&quot;Bits pro Wert&quot; muss zwischen 1 und 8 liegen" sqref="E6:F6" xr:uid="{00000000-0002-0000-0500-000006000000}">
      <formula1>1</formula1>
      <formula2>8</formula2>
    </dataValidation>
    <dataValidation type="whole" allowBlank="1" showInputMessage="1" showErrorMessage="1" errorTitle="Falscher Wert" error="Die Anzahl der Ausgabekanäle muss zwischen 1 und 765 liegen" sqref="E5:F5" xr:uid="{00000000-0002-0000-05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4"/>
  <dimension ref="B1:GM139"/>
  <sheetViews>
    <sheetView showGridLines="0" workbookViewId="0">
      <selection activeCell="E6" sqref="E6:F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26</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2</v>
      </c>
      <c r="F6" s="96"/>
      <c r="G6" t="str">
        <f>CONCATENATE("  =&gt; ",2^Bits_pro_Wert," Helligheitsstufen (0..",2^Bits_pro_Wert-1,")")</f>
        <v xml:space="preserve">  =&gt; 4 Helligheitsstufen (0..3)</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APatternT2(0,4,SI_1,26,0,255,0,0,100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112</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RGB_ConstrWarnLight(LED,InNr)                       APatternT2(LED,4,InNr,26,0,255,0,0,100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RGB_ConstrWarnLight_StCh(LED,StCh,InNr)     APatternT2(LED,StCh+4,InNr,26,0,255,0,0,100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64</v>
      </c>
      <c r="F21" s="26" t="s">
        <v>63</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100 ms</v>
      </c>
      <c r="F22" s="13" t="str">
        <f t="shared" ref="F22:AJ22" si="0">IF(AND(_xlfn.ISFORMULA(F21),G22=""),"",IF(F21&lt;&gt;"",F21,""))</f>
        <v>200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,100 ms</v>
      </c>
      <c r="F23" s="2" t="str">
        <f t="shared" ref="F23:AJ23" si="1">IF(OR(F22&lt;&gt;"",G23&lt;&gt;""),CONCATENATE(",",IF(F22="","!",F22)),"")</f>
        <v>,200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,100 ms,200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4</v>
      </c>
      <c r="F28" s="2" t="str">
        <f>DEC2BIN(E28,8)</f>
        <v>00000100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4</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RGB_ConstrWarnLight(LED,NStru,InNr)    APatternT2(LED,NStru,InNr,26,0,255,0,0,100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260</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99">
        <f>E35+TimerBytes+DataBytes</f>
        <v>275</v>
      </c>
      <c r="F37" s="97"/>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87</v>
      </c>
      <c r="E40" s="45" t="s">
        <v>0</v>
      </c>
      <c r="F40" s="45" t="s">
        <v>0</v>
      </c>
      <c r="G40" s="45">
        <v>1</v>
      </c>
      <c r="H40" s="45">
        <v>1</v>
      </c>
      <c r="I40" s="45">
        <v>1</v>
      </c>
      <c r="J40" s="45">
        <v>1</v>
      </c>
      <c r="K40" s="45">
        <v>1</v>
      </c>
      <c r="L40" s="45">
        <v>1</v>
      </c>
      <c r="M40" s="45">
        <v>1</v>
      </c>
      <c r="N40" s="45">
        <v>1</v>
      </c>
      <c r="O40" s="45">
        <v>1</v>
      </c>
      <c r="P40" s="45">
        <v>1</v>
      </c>
      <c r="Q40" s="45">
        <v>1</v>
      </c>
      <c r="R40" s="45">
        <v>1</v>
      </c>
      <c r="S40" s="45">
        <v>1</v>
      </c>
      <c r="T40" s="45">
        <v>1</v>
      </c>
      <c r="U40" s="45">
        <v>1</v>
      </c>
      <c r="V40" s="45">
        <v>1</v>
      </c>
      <c r="W40" s="45" t="s">
        <v>59</v>
      </c>
      <c r="X40" s="45" t="s">
        <v>59</v>
      </c>
      <c r="Y40" s="45" t="s">
        <v>0</v>
      </c>
      <c r="Z40" s="45" t="s">
        <v>0</v>
      </c>
      <c r="AA40" s="45"/>
      <c r="AB40" s="45"/>
      <c r="AC40" s="45"/>
      <c r="AD40" s="45"/>
      <c r="AE40" s="45"/>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t="s">
        <v>85</v>
      </c>
      <c r="E41" s="45" t="s">
        <v>0</v>
      </c>
      <c r="F41" s="45" t="s">
        <v>0</v>
      </c>
      <c r="G41" s="45">
        <v>1</v>
      </c>
      <c r="H41" s="45">
        <v>1</v>
      </c>
      <c r="I41" s="45">
        <v>1</v>
      </c>
      <c r="J41" s="45">
        <v>1</v>
      </c>
      <c r="K41" s="45">
        <v>1</v>
      </c>
      <c r="L41" s="45">
        <v>1</v>
      </c>
      <c r="M41" s="45">
        <v>1</v>
      </c>
      <c r="N41" s="45">
        <v>1</v>
      </c>
      <c r="O41" s="45">
        <v>1</v>
      </c>
      <c r="P41" s="45">
        <v>1</v>
      </c>
      <c r="Q41" s="45">
        <v>1</v>
      </c>
      <c r="R41" s="45">
        <v>1</v>
      </c>
      <c r="S41" s="45">
        <v>1</v>
      </c>
      <c r="T41" s="45">
        <v>1</v>
      </c>
      <c r="U41" s="45">
        <v>1</v>
      </c>
      <c r="V41" s="45">
        <v>1</v>
      </c>
      <c r="W41" s="45"/>
      <c r="X41" s="45"/>
      <c r="Y41" s="45" t="s">
        <v>0</v>
      </c>
      <c r="Z41" s="45" t="s">
        <v>0</v>
      </c>
      <c r="AA41" s="45"/>
      <c r="AB41" s="45"/>
      <c r="AC41" s="45"/>
      <c r="AD41" s="45"/>
      <c r="AE41" s="45"/>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t="s">
        <v>86</v>
      </c>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5" t="s">
        <v>88</v>
      </c>
      <c r="E43" s="45"/>
      <c r="F43" s="45"/>
      <c r="G43" s="45" t="s">
        <v>0</v>
      </c>
      <c r="H43" s="45" t="s">
        <v>0</v>
      </c>
      <c r="I43" s="45">
        <v>1</v>
      </c>
      <c r="J43" s="45">
        <v>1</v>
      </c>
      <c r="K43" s="45">
        <v>1</v>
      </c>
      <c r="L43" s="45">
        <v>1</v>
      </c>
      <c r="M43" s="45">
        <v>1</v>
      </c>
      <c r="N43" s="45">
        <v>1</v>
      </c>
      <c r="O43" s="45">
        <v>1</v>
      </c>
      <c r="P43" s="45">
        <v>1</v>
      </c>
      <c r="Q43" s="45">
        <v>1</v>
      </c>
      <c r="R43" s="45">
        <v>1</v>
      </c>
      <c r="S43" s="45">
        <v>1</v>
      </c>
      <c r="T43" s="45">
        <v>1</v>
      </c>
      <c r="U43" s="45">
        <v>1</v>
      </c>
      <c r="V43" s="45">
        <v>1</v>
      </c>
      <c r="W43" s="45"/>
      <c r="X43" s="45"/>
      <c r="Y43" s="45"/>
      <c r="Z43" s="45"/>
      <c r="AA43" s="45" t="s">
        <v>0</v>
      </c>
      <c r="AB43" s="45" t="s">
        <v>0</v>
      </c>
      <c r="AC43" s="45"/>
      <c r="AD43" s="45"/>
      <c r="AE43" s="45"/>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45" t="s">
        <v>89</v>
      </c>
      <c r="E44" s="45"/>
      <c r="F44" s="45"/>
      <c r="G44" s="45" t="s">
        <v>0</v>
      </c>
      <c r="H44" s="45" t="s">
        <v>0</v>
      </c>
      <c r="I44" s="45">
        <v>1</v>
      </c>
      <c r="J44" s="45">
        <v>1</v>
      </c>
      <c r="K44" s="45">
        <v>1</v>
      </c>
      <c r="L44" s="45">
        <v>1</v>
      </c>
      <c r="M44" s="45">
        <v>1</v>
      </c>
      <c r="N44" s="45">
        <v>1</v>
      </c>
      <c r="O44" s="45">
        <v>1</v>
      </c>
      <c r="P44" s="45">
        <v>1</v>
      </c>
      <c r="Q44" s="45">
        <v>1</v>
      </c>
      <c r="R44" s="45">
        <v>1</v>
      </c>
      <c r="S44" s="45">
        <v>1</v>
      </c>
      <c r="T44" s="45">
        <v>1</v>
      </c>
      <c r="U44" s="45">
        <v>1</v>
      </c>
      <c r="V44" s="45">
        <v>1</v>
      </c>
      <c r="W44" s="45"/>
      <c r="X44" s="45"/>
      <c r="Y44" s="45"/>
      <c r="Z44" s="45"/>
      <c r="AA44" s="45" t="s">
        <v>0</v>
      </c>
      <c r="AB44" s="45" t="s">
        <v>0</v>
      </c>
      <c r="AC44" s="45"/>
      <c r="AD44" s="45"/>
      <c r="AE44" s="45"/>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45" t="s">
        <v>90</v>
      </c>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5" t="s">
        <v>91</v>
      </c>
      <c r="E46" s="45"/>
      <c r="F46" s="45"/>
      <c r="G46" s="45"/>
      <c r="H46" s="45"/>
      <c r="I46" s="45" t="s">
        <v>0</v>
      </c>
      <c r="J46" s="45" t="s">
        <v>0</v>
      </c>
      <c r="K46" s="45">
        <v>1</v>
      </c>
      <c r="L46" s="45">
        <v>1</v>
      </c>
      <c r="M46" s="45">
        <v>1</v>
      </c>
      <c r="N46" s="45">
        <v>1</v>
      </c>
      <c r="O46" s="45">
        <v>1</v>
      </c>
      <c r="P46" s="45">
        <v>1</v>
      </c>
      <c r="Q46" s="45">
        <v>1</v>
      </c>
      <c r="R46" s="45">
        <v>1</v>
      </c>
      <c r="S46" s="45">
        <v>1</v>
      </c>
      <c r="T46" s="45">
        <v>1</v>
      </c>
      <c r="U46" s="45">
        <v>1</v>
      </c>
      <c r="V46" s="45">
        <v>1</v>
      </c>
      <c r="W46" s="45"/>
      <c r="X46" s="45"/>
      <c r="Y46" s="45"/>
      <c r="Z46" s="45"/>
      <c r="AA46" s="45"/>
      <c r="AB46" s="45"/>
      <c r="AC46" s="45" t="s">
        <v>0</v>
      </c>
      <c r="AD46" s="45" t="s">
        <v>0</v>
      </c>
      <c r="AE46" s="45"/>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5" t="s">
        <v>92</v>
      </c>
      <c r="E47" s="45"/>
      <c r="F47" s="45"/>
      <c r="G47" s="45"/>
      <c r="H47" s="45"/>
      <c r="I47" s="45" t="s">
        <v>0</v>
      </c>
      <c r="J47" s="45" t="s">
        <v>0</v>
      </c>
      <c r="K47" s="45">
        <v>1</v>
      </c>
      <c r="L47" s="45">
        <v>1</v>
      </c>
      <c r="M47" s="45">
        <v>1</v>
      </c>
      <c r="N47" s="45">
        <v>1</v>
      </c>
      <c r="O47" s="45">
        <v>1</v>
      </c>
      <c r="P47" s="45">
        <v>1</v>
      </c>
      <c r="Q47" s="45">
        <v>1</v>
      </c>
      <c r="R47" s="45">
        <v>1</v>
      </c>
      <c r="S47" s="45">
        <v>1</v>
      </c>
      <c r="T47" s="45">
        <v>1</v>
      </c>
      <c r="U47" s="45">
        <v>1</v>
      </c>
      <c r="V47" s="45">
        <v>1</v>
      </c>
      <c r="W47" s="45"/>
      <c r="X47" s="45"/>
      <c r="Y47" s="45"/>
      <c r="Z47" s="45"/>
      <c r="AA47" s="45"/>
      <c r="AB47" s="45"/>
      <c r="AC47" s="45" t="s">
        <v>0</v>
      </c>
      <c r="AD47" s="45" t="s">
        <v>0</v>
      </c>
      <c r="AE47" s="45"/>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5" t="s">
        <v>93</v>
      </c>
      <c r="E48" s="62"/>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45" t="s">
        <v>94</v>
      </c>
      <c r="E49" s="45"/>
      <c r="F49" s="45"/>
      <c r="G49" s="45"/>
      <c r="H49" s="45"/>
      <c r="I49" s="45"/>
      <c r="J49" s="45"/>
      <c r="K49" s="45" t="s">
        <v>0</v>
      </c>
      <c r="L49" s="45" t="s">
        <v>0</v>
      </c>
      <c r="M49" s="45">
        <v>1</v>
      </c>
      <c r="N49" s="45">
        <v>1</v>
      </c>
      <c r="O49" s="45">
        <v>1</v>
      </c>
      <c r="P49" s="45">
        <v>1</v>
      </c>
      <c r="Q49" s="45">
        <v>1</v>
      </c>
      <c r="R49" s="45">
        <v>1</v>
      </c>
      <c r="S49" s="45">
        <v>1</v>
      </c>
      <c r="T49" s="45">
        <v>1</v>
      </c>
      <c r="U49" s="45">
        <v>1</v>
      </c>
      <c r="V49" s="45">
        <v>1</v>
      </c>
      <c r="W49" s="45"/>
      <c r="X49" s="45"/>
      <c r="Y49" s="45"/>
      <c r="Z49" s="45"/>
      <c r="AA49" s="45"/>
      <c r="AB49" s="45"/>
      <c r="AC49" s="45"/>
      <c r="AD49" s="45"/>
      <c r="AE49" s="45" t="s">
        <v>0</v>
      </c>
      <c r="AF49" s="45" t="s">
        <v>0</v>
      </c>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5" t="s">
        <v>95</v>
      </c>
      <c r="E50" s="45"/>
      <c r="F50" s="45"/>
      <c r="G50" s="45"/>
      <c r="H50" s="45"/>
      <c r="I50" s="45"/>
      <c r="J50" s="45"/>
      <c r="K50" s="45" t="s">
        <v>0</v>
      </c>
      <c r="L50" s="45" t="s">
        <v>0</v>
      </c>
      <c r="M50" s="45">
        <v>1</v>
      </c>
      <c r="N50" s="45">
        <v>1</v>
      </c>
      <c r="O50" s="45">
        <v>1</v>
      </c>
      <c r="P50" s="45">
        <v>1</v>
      </c>
      <c r="Q50" s="45">
        <v>1</v>
      </c>
      <c r="R50" s="45">
        <v>1</v>
      </c>
      <c r="S50" s="45">
        <v>1</v>
      </c>
      <c r="T50" s="45">
        <v>1</v>
      </c>
      <c r="U50" s="45">
        <v>1</v>
      </c>
      <c r="V50" s="45">
        <v>1</v>
      </c>
      <c r="W50" s="45"/>
      <c r="X50" s="45"/>
      <c r="Y50" s="45"/>
      <c r="Z50" s="45"/>
      <c r="AA50" s="45"/>
      <c r="AB50" s="45"/>
      <c r="AC50" s="45"/>
      <c r="AD50" s="45"/>
      <c r="AE50" s="45" t="s">
        <v>0</v>
      </c>
      <c r="AF50" s="45" t="s">
        <v>0</v>
      </c>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5" t="s">
        <v>96</v>
      </c>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5" t="s">
        <v>97</v>
      </c>
      <c r="E52" s="45"/>
      <c r="F52" s="45"/>
      <c r="G52" s="45"/>
      <c r="H52" s="45"/>
      <c r="I52" s="45"/>
      <c r="J52" s="45"/>
      <c r="K52" s="45"/>
      <c r="L52" s="45"/>
      <c r="M52" s="45" t="s">
        <v>0</v>
      </c>
      <c r="N52" s="45" t="s">
        <v>0</v>
      </c>
      <c r="O52" s="45">
        <v>1</v>
      </c>
      <c r="P52" s="45">
        <v>1</v>
      </c>
      <c r="Q52" s="45">
        <v>1</v>
      </c>
      <c r="R52" s="45">
        <v>1</v>
      </c>
      <c r="S52" s="45">
        <v>1</v>
      </c>
      <c r="T52" s="45">
        <v>1</v>
      </c>
      <c r="U52" s="45">
        <v>1</v>
      </c>
      <c r="V52" s="45">
        <v>1</v>
      </c>
      <c r="W52" s="45"/>
      <c r="X52" s="45"/>
      <c r="Y52" s="45"/>
      <c r="Z52" s="45"/>
      <c r="AA52" s="45"/>
      <c r="AB52" s="45"/>
      <c r="AC52" s="45"/>
      <c r="AD52" s="45"/>
      <c r="AE52" s="45"/>
      <c r="AF52" s="30"/>
      <c r="AG52" s="45" t="s">
        <v>0</v>
      </c>
      <c r="AH52" s="45" t="s">
        <v>0</v>
      </c>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45" t="s">
        <v>98</v>
      </c>
      <c r="E53" s="45"/>
      <c r="F53" s="45"/>
      <c r="G53" s="45"/>
      <c r="H53" s="45"/>
      <c r="I53" s="45"/>
      <c r="J53" s="45"/>
      <c r="K53" s="45"/>
      <c r="L53" s="45"/>
      <c r="M53" s="45" t="s">
        <v>0</v>
      </c>
      <c r="N53" s="45" t="s">
        <v>0</v>
      </c>
      <c r="O53" s="45">
        <v>1</v>
      </c>
      <c r="P53" s="45">
        <v>1</v>
      </c>
      <c r="Q53" s="45">
        <v>1</v>
      </c>
      <c r="R53" s="45">
        <v>1</v>
      </c>
      <c r="S53" s="45">
        <v>1</v>
      </c>
      <c r="T53" s="45">
        <v>1</v>
      </c>
      <c r="U53" s="45">
        <v>1</v>
      </c>
      <c r="V53" s="45">
        <v>1</v>
      </c>
      <c r="W53" s="45"/>
      <c r="X53" s="45"/>
      <c r="Y53" s="45"/>
      <c r="Z53" s="45"/>
      <c r="AA53" s="45"/>
      <c r="AB53" s="45"/>
      <c r="AC53" s="45"/>
      <c r="AD53" s="45"/>
      <c r="AE53" s="45"/>
      <c r="AF53" s="30"/>
      <c r="AG53" s="45" t="s">
        <v>0</v>
      </c>
      <c r="AH53" s="45" t="s">
        <v>0</v>
      </c>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45" t="s">
        <v>99</v>
      </c>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45" t="s">
        <v>100</v>
      </c>
      <c r="E55" s="45"/>
      <c r="F55" s="45"/>
      <c r="G55" s="45"/>
      <c r="H55" s="45"/>
      <c r="I55" s="45"/>
      <c r="J55" s="45"/>
      <c r="K55" s="45"/>
      <c r="L55" s="45"/>
      <c r="M55" s="45"/>
      <c r="N55" s="45"/>
      <c r="O55" s="45" t="s">
        <v>0</v>
      </c>
      <c r="P55" s="45" t="s">
        <v>0</v>
      </c>
      <c r="Q55" s="45">
        <v>1</v>
      </c>
      <c r="R55" s="45">
        <v>1</v>
      </c>
      <c r="S55" s="45">
        <v>1</v>
      </c>
      <c r="T55" s="45">
        <v>1</v>
      </c>
      <c r="U55" s="45">
        <v>1</v>
      </c>
      <c r="V55" s="45">
        <v>1</v>
      </c>
      <c r="W55" s="45"/>
      <c r="X55" s="45"/>
      <c r="Y55" s="45"/>
      <c r="Z55" s="45"/>
      <c r="AA55" s="45"/>
      <c r="AB55" s="45"/>
      <c r="AC55" s="45"/>
      <c r="AD55" s="45"/>
      <c r="AE55" s="45"/>
      <c r="AF55" s="30"/>
      <c r="AG55" s="30"/>
      <c r="AH55" s="30"/>
      <c r="AI55" s="45" t="s">
        <v>0</v>
      </c>
      <c r="AJ55" s="45" t="s">
        <v>0</v>
      </c>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45" t="s">
        <v>101</v>
      </c>
      <c r="E56" s="45"/>
      <c r="F56" s="45"/>
      <c r="G56" s="45"/>
      <c r="H56" s="45"/>
      <c r="I56" s="45"/>
      <c r="J56" s="45"/>
      <c r="K56" s="45"/>
      <c r="L56" s="45"/>
      <c r="M56" s="45"/>
      <c r="N56" s="45"/>
      <c r="O56" s="45" t="s">
        <v>0</v>
      </c>
      <c r="P56" s="45" t="s">
        <v>0</v>
      </c>
      <c r="Q56" s="45">
        <v>1</v>
      </c>
      <c r="R56" s="45">
        <v>1</v>
      </c>
      <c r="S56" s="45">
        <v>1</v>
      </c>
      <c r="T56" s="45">
        <v>1</v>
      </c>
      <c r="U56" s="45">
        <v>1</v>
      </c>
      <c r="V56" s="45">
        <v>1</v>
      </c>
      <c r="W56" s="45"/>
      <c r="X56" s="45"/>
      <c r="Y56" s="45"/>
      <c r="Z56" s="45"/>
      <c r="AA56" s="45"/>
      <c r="AB56" s="45"/>
      <c r="AC56" s="45"/>
      <c r="AD56" s="45"/>
      <c r="AE56" s="45"/>
      <c r="AF56" s="30"/>
      <c r="AG56" s="30"/>
      <c r="AH56" s="30"/>
      <c r="AI56" s="45" t="s">
        <v>0</v>
      </c>
      <c r="AJ56" s="45" t="s">
        <v>0</v>
      </c>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45" t="s">
        <v>102</v>
      </c>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45" t="s">
        <v>103</v>
      </c>
      <c r="E58" s="45"/>
      <c r="F58" s="45"/>
      <c r="G58" s="45"/>
      <c r="H58" s="45"/>
      <c r="I58" s="45"/>
      <c r="J58" s="45"/>
      <c r="K58" s="45"/>
      <c r="L58" s="45"/>
      <c r="M58" s="45"/>
      <c r="N58" s="45"/>
      <c r="O58" s="45"/>
      <c r="P58" s="45"/>
      <c r="Q58" s="45" t="s">
        <v>0</v>
      </c>
      <c r="R58" s="45" t="s">
        <v>0</v>
      </c>
      <c r="S58" s="45">
        <v>1</v>
      </c>
      <c r="T58" s="45">
        <v>1</v>
      </c>
      <c r="U58" s="45">
        <v>1</v>
      </c>
      <c r="V58" s="45">
        <v>1</v>
      </c>
      <c r="W58" s="45"/>
      <c r="X58" s="45"/>
      <c r="Y58" s="45"/>
      <c r="Z58" s="45"/>
      <c r="AA58" s="45"/>
      <c r="AB58" s="45"/>
      <c r="AC58" s="45"/>
      <c r="AD58" s="45"/>
      <c r="AE58" s="45"/>
      <c r="AF58" s="30"/>
      <c r="AG58" s="30"/>
      <c r="AH58" s="30"/>
      <c r="AI58" s="30"/>
      <c r="AJ58" s="30"/>
      <c r="AK58" s="45" t="s">
        <v>0</v>
      </c>
      <c r="AL58" s="45" t="s">
        <v>0</v>
      </c>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45" t="s">
        <v>104</v>
      </c>
      <c r="E59" s="45"/>
      <c r="F59" s="45"/>
      <c r="G59" s="45"/>
      <c r="H59" s="45"/>
      <c r="I59" s="45"/>
      <c r="J59" s="45"/>
      <c r="K59" s="45"/>
      <c r="L59" s="45"/>
      <c r="M59" s="45"/>
      <c r="N59" s="45"/>
      <c r="O59" s="45"/>
      <c r="P59" s="45"/>
      <c r="Q59" s="45" t="s">
        <v>0</v>
      </c>
      <c r="R59" s="45" t="s">
        <v>0</v>
      </c>
      <c r="S59" s="45">
        <v>1</v>
      </c>
      <c r="T59" s="45">
        <v>1</v>
      </c>
      <c r="U59" s="45">
        <v>1</v>
      </c>
      <c r="V59" s="45">
        <v>1</v>
      </c>
      <c r="W59" s="45"/>
      <c r="X59" s="45"/>
      <c r="Y59" s="45"/>
      <c r="Z59" s="45"/>
      <c r="AA59" s="45"/>
      <c r="AB59" s="45"/>
      <c r="AC59" s="45"/>
      <c r="AD59" s="45"/>
      <c r="AE59" s="45"/>
      <c r="AF59" s="30"/>
      <c r="AG59" s="30"/>
      <c r="AH59" s="30"/>
      <c r="AI59" s="30"/>
      <c r="AJ59" s="30"/>
      <c r="AK59" s="45" t="s">
        <v>0</v>
      </c>
      <c r="AL59" s="45" t="s">
        <v>0</v>
      </c>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45" t="s">
        <v>105</v>
      </c>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45" t="s">
        <v>106</v>
      </c>
      <c r="E61" s="30"/>
      <c r="F61" s="30"/>
      <c r="G61" s="30"/>
      <c r="H61" s="30"/>
      <c r="I61" s="30"/>
      <c r="J61" s="30"/>
      <c r="K61" s="30"/>
      <c r="L61" s="30"/>
      <c r="M61" s="30"/>
      <c r="N61" s="30"/>
      <c r="O61" s="30"/>
      <c r="P61" s="45"/>
      <c r="Q61" s="45"/>
      <c r="R61" s="45"/>
      <c r="S61" s="45" t="s">
        <v>0</v>
      </c>
      <c r="T61" s="45" t="s">
        <v>0</v>
      </c>
      <c r="U61" s="45">
        <v>1</v>
      </c>
      <c r="V61" s="45">
        <v>1</v>
      </c>
      <c r="W61" s="45"/>
      <c r="X61" s="45"/>
      <c r="Y61" s="45"/>
      <c r="Z61" s="45"/>
      <c r="AA61" s="45"/>
      <c r="AB61" s="45"/>
      <c r="AC61" s="45"/>
      <c r="AD61" s="30"/>
      <c r="AE61" s="30"/>
      <c r="AF61" s="30"/>
      <c r="AG61" s="30"/>
      <c r="AH61" s="30"/>
      <c r="AI61" s="30"/>
      <c r="AJ61" s="30"/>
      <c r="AK61" s="30"/>
      <c r="AL61" s="30"/>
      <c r="AM61" s="45" t="s">
        <v>0</v>
      </c>
      <c r="AN61" s="45" t="s">
        <v>0</v>
      </c>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45" t="s">
        <v>107</v>
      </c>
      <c r="E62" s="30"/>
      <c r="F62" s="30"/>
      <c r="G62" s="30"/>
      <c r="H62" s="30"/>
      <c r="I62" s="30"/>
      <c r="J62" s="30"/>
      <c r="K62" s="30"/>
      <c r="L62" s="30"/>
      <c r="M62" s="30"/>
      <c r="N62" s="30"/>
      <c r="O62" s="30"/>
      <c r="P62" s="45"/>
      <c r="Q62" s="45"/>
      <c r="R62" s="45"/>
      <c r="S62" s="45" t="s">
        <v>0</v>
      </c>
      <c r="T62" s="45" t="s">
        <v>0</v>
      </c>
      <c r="U62" s="45">
        <v>1</v>
      </c>
      <c r="V62" s="45">
        <v>1</v>
      </c>
      <c r="W62" s="45"/>
      <c r="X62" s="45"/>
      <c r="Y62" s="45"/>
      <c r="Z62" s="45"/>
      <c r="AA62" s="45"/>
      <c r="AB62" s="45"/>
      <c r="AC62" s="45"/>
      <c r="AD62" s="30"/>
      <c r="AE62" s="30"/>
      <c r="AF62" s="30"/>
      <c r="AG62" s="30"/>
      <c r="AH62" s="30"/>
      <c r="AI62" s="30"/>
      <c r="AJ62" s="30"/>
      <c r="AK62" s="30"/>
      <c r="AL62" s="30"/>
      <c r="AM62" s="45" t="s">
        <v>0</v>
      </c>
      <c r="AN62" s="45" t="s">
        <v>0</v>
      </c>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45" t="s">
        <v>108</v>
      </c>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45" t="s">
        <v>109</v>
      </c>
      <c r="E64" s="30"/>
      <c r="F64" s="30"/>
      <c r="G64" s="30"/>
      <c r="H64" s="30"/>
      <c r="I64" s="30"/>
      <c r="J64" s="30"/>
      <c r="K64" s="30"/>
      <c r="L64" s="30"/>
      <c r="M64" s="30"/>
      <c r="N64" s="30"/>
      <c r="O64" s="30"/>
      <c r="P64" s="30"/>
      <c r="Q64" s="45"/>
      <c r="R64" s="45"/>
      <c r="S64" s="45"/>
      <c r="T64" s="45"/>
      <c r="U64" s="45" t="s">
        <v>0</v>
      </c>
      <c r="V64" s="45" t="s">
        <v>0</v>
      </c>
      <c r="W64" s="45"/>
      <c r="X64" s="45"/>
      <c r="Y64" s="45"/>
      <c r="Z64" s="45"/>
      <c r="AA64" s="45"/>
      <c r="AB64" s="45"/>
      <c r="AC64" s="45"/>
      <c r="AD64" s="30"/>
      <c r="AE64" s="30"/>
      <c r="AF64" s="30"/>
      <c r="AG64" s="30"/>
      <c r="AH64" s="30"/>
      <c r="AI64" s="30"/>
      <c r="AJ64" s="30"/>
      <c r="AK64" s="30"/>
      <c r="AL64" s="30"/>
      <c r="AM64" s="30"/>
      <c r="AN64" s="30"/>
      <c r="AO64" s="45" t="s">
        <v>0</v>
      </c>
      <c r="AP64" s="45" t="s">
        <v>0</v>
      </c>
      <c r="AQ64" s="30" t="s">
        <v>59</v>
      </c>
      <c r="AR64" s="30" t="s">
        <v>59</v>
      </c>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45" t="s">
        <v>110</v>
      </c>
      <c r="E65" s="30"/>
      <c r="F65" s="30"/>
      <c r="G65" s="30"/>
      <c r="H65" s="30"/>
      <c r="I65" s="30"/>
      <c r="J65" s="30"/>
      <c r="K65" s="30"/>
      <c r="L65" s="30"/>
      <c r="M65" s="30"/>
      <c r="N65" s="30"/>
      <c r="O65" s="30"/>
      <c r="P65" s="30"/>
      <c r="Q65" s="45"/>
      <c r="R65" s="45"/>
      <c r="S65" s="45"/>
      <c r="T65" s="45"/>
      <c r="U65" s="45" t="s">
        <v>0</v>
      </c>
      <c r="V65" s="45" t="s">
        <v>0</v>
      </c>
      <c r="W65" s="45"/>
      <c r="X65" s="45"/>
      <c r="Y65" s="45"/>
      <c r="Z65" s="45"/>
      <c r="AA65" s="45"/>
      <c r="AB65" s="45"/>
      <c r="AC65" s="45"/>
      <c r="AD65" s="30"/>
      <c r="AE65" s="30"/>
      <c r="AF65" s="30"/>
      <c r="AG65" s="30"/>
      <c r="AH65" s="30"/>
      <c r="AI65" s="30"/>
      <c r="AJ65" s="30"/>
      <c r="AK65" s="30"/>
      <c r="AL65" s="30"/>
      <c r="AM65" s="30"/>
      <c r="AN65" s="30"/>
      <c r="AO65" s="45" t="s">
        <v>0</v>
      </c>
      <c r="AP65" s="45" t="s">
        <v>0</v>
      </c>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45" t="s">
        <v>111</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3">
    <mergeCell ref="E7:F7"/>
    <mergeCell ref="E2:F2"/>
    <mergeCell ref="E3:F3"/>
    <mergeCell ref="E4:F4"/>
    <mergeCell ref="E5:F5"/>
    <mergeCell ref="E6:F6"/>
    <mergeCell ref="I73:J73"/>
    <mergeCell ref="E8:F8"/>
    <mergeCell ref="E9:F9"/>
    <mergeCell ref="E10:F10"/>
    <mergeCell ref="E11:F11"/>
    <mergeCell ref="E15:F15"/>
    <mergeCell ref="E37:F37"/>
  </mergeCells>
  <conditionalFormatting sqref="B40:B149">
    <cfRule type="expression" dxfId="387" priority="10">
      <formula>$E$5&gt;=ROW(B40)-ROW($B$39)</formula>
    </cfRule>
  </conditionalFormatting>
  <conditionalFormatting sqref="B40:BH72 B74:BH149 B73:I73 K73:BH73">
    <cfRule type="expression" dxfId="386" priority="9">
      <formula>$E$5&gt;=ROW(B40)-ROW($B$39)</formula>
    </cfRule>
  </conditionalFormatting>
  <conditionalFormatting sqref="E37:F37">
    <cfRule type="expression" dxfId="385" priority="1">
      <formula>$E$37&gt;2000</formula>
    </cfRule>
    <cfRule type="expression" dxfId="384" priority="2">
      <formula>$E$37&gt;2000</formula>
    </cfRule>
    <cfRule type="expression" dxfId="383" priority="3">
      <formula>$E$37&gt;2000</formula>
    </cfRule>
    <cfRule type="expression" dxfId="382" priority="4">
      <formula>$E$37&gt;2000</formula>
    </cfRule>
    <cfRule type="expression" dxfId="381" priority="5">
      <formula>$E$37&gt;2000</formula>
    </cfRule>
    <cfRule type="expression" dxfId="380" priority="6">
      <formula>$E$37&gt;2000</formula>
    </cfRule>
    <cfRule type="expression" dxfId="379" priority="7">
      <formula>$E$37&gt;2000</formula>
    </cfRule>
    <cfRule type="expression" dxfId="378" priority="8">
      <formula>$E$37&gt;2000</formula>
    </cfRule>
  </conditionalFormatting>
  <dataValidations count="8">
    <dataValidation type="decimal" allowBlank="1" showErrorMessage="1" errorTitle="Falscher Wert" error="&quot;Bits pro Wert&quot; muss zwischen 1 und 8 liegen" sqref="E6:F6" xr:uid="{00000000-0002-0000-0600-000000000000}">
      <formula1>1</formula1>
      <formula2>8</formula2>
    </dataValidation>
    <dataValidation type="whole" allowBlank="1" showInputMessage="1" showErrorMessage="1" errorTitle="Falscher Wert" error="&quot;Wert Min&quot; muss zwischen 0 und 255 liegen" sqref="E7:F7" xr:uid="{00000000-0002-0000-06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6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6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6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600-000005000000}">
      <formula1>0</formula1>
      <formula2>255</formula2>
    </dataValidation>
    <dataValidation type="whole" allowBlank="1" showInputMessage="1" showErrorMessage="1" errorTitle="Falscher Wert" error="&quot;Wert Max&quot; mus zwischen 0 und 255 liegen" sqref="E8:F8" xr:uid="{00000000-0002-0000-0600-000006000000}">
      <formula1>0</formula1>
      <formula2>255</formula2>
    </dataValidation>
    <dataValidation type="whole" allowBlank="1" showInputMessage="1" showErrorMessage="1" errorTitle="Falscher Wert" error="Die Anzahl der Ausgabekanäle muss zwischen 1 und 765 liegen" sqref="E5:F5" xr:uid="{00000000-0002-0000-06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2"/>
  <dimension ref="B1:GM139"/>
  <sheetViews>
    <sheetView showGridLines="0" workbookViewId="0">
      <selection activeCell="E6" sqref="E6:F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6</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52</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0</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PatternT4(0,0,SI_1,6,0,255,0,PF_NO_SWITCH_OFF,2 Sec,1 Sec,10 Sec,3 Sec,73,163,48,73,26,133)</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47</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RGB_AmpelX(LED,InNr)                       PatternT4(LED,0,InNr,6,0,255,0,PF_NO_SWITCH_OFF,2 Sec,1 Sec,10 Sec,3 Sec,73,163,48,73,26,133)</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RGB_AmpelX_StCh(LED,StCh,InNr)     PatternT4(LED,StCh+0,InNr,6,0,255,0,PF_NO_SWITCH_OFF,2 Sec,1 Sec,10 Sec,3 Sec,73,163,48,73,26,133)</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24</v>
      </c>
      <c r="F21" s="26" t="s">
        <v>25</v>
      </c>
      <c r="G21" s="26" t="s">
        <v>23</v>
      </c>
      <c r="H21" s="26" t="s">
        <v>26</v>
      </c>
      <c r="I21" s="25" t="str">
        <f>E21</f>
        <v>2 Sec</v>
      </c>
      <c r="J21" s="25" t="str">
        <f>F21</f>
        <v>1 Sec</v>
      </c>
      <c r="K21" s="25" t="str">
        <f>G21</f>
        <v>10 Sec</v>
      </c>
      <c r="L21" s="25" t="str">
        <f>H21</f>
        <v>3 Sec</v>
      </c>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2 Sec</v>
      </c>
      <c r="F22" s="13" t="str">
        <f t="shared" ref="F22:AJ22" si="0">IF(AND(_xlfn.ISFORMULA(F21),G22=""),"",IF(F21&lt;&gt;"",F21,""))</f>
        <v>1 Sec</v>
      </c>
      <c r="G22" s="13" t="str">
        <f t="shared" si="0"/>
        <v>10 Sec</v>
      </c>
      <c r="H22" s="13" t="str">
        <f t="shared" si="0"/>
        <v>3 Sec</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,2 Sec</v>
      </c>
      <c r="F23" s="2" t="str">
        <f t="shared" ref="F23:AJ23" si="1">IF(OR(F22&lt;&gt;"",G23&lt;&gt;""),CONCATENATE(",",IF(F22="","!",F22)),"")</f>
        <v>,1 Sec</v>
      </c>
      <c r="G23" s="2" t="str">
        <f t="shared" si="1"/>
        <v>,10 Sec</v>
      </c>
      <c r="H23" s="2" t="str">
        <f t="shared" si="1"/>
        <v>,3 Sec</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,2 Sec,1 Sec,10 Sec,3 Sec</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PatternT4(</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0:,73,163,48,73,26,133</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,73,163,48,73,26,133</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6,0,255,0,PF_NO_SWITCH_OFF,2 Sec,1 Sec,10 Sec,3 Sec,73,163,48,73,26,133)</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RGB_AmpelX(LED,NStru,InNr)    PatternT4(LED,NStru,InNr,6,0,255,0,PF_NO_SWITCH_OFF,2 Sec,1 Sec,10 Sec,3 Sec,73,163,48,73,26,133)</v>
      </c>
      <c r="F34" s="2"/>
      <c r="G34" s="2"/>
      <c r="H34" s="2"/>
      <c r="I34" s="2"/>
      <c r="J34" s="2"/>
      <c r="X34" s="2"/>
      <c r="Y34" s="14"/>
      <c r="Z34" s="2"/>
      <c r="AA34" s="2"/>
      <c r="AB34" s="2"/>
    </row>
    <row r="35" spans="2:193" hidden="1" x14ac:dyDescent="0.3">
      <c r="D35" s="17" t="s">
        <v>21</v>
      </c>
      <c r="E35" s="18">
        <v>11</v>
      </c>
      <c r="G35" s="17" t="s">
        <v>20</v>
      </c>
      <c r="H35" s="18">
        <f>2*(32-COUNTIF(E22:AJ22,""))</f>
        <v>8</v>
      </c>
      <c r="J35" s="17" t="s">
        <v>19</v>
      </c>
      <c r="K35" s="18">
        <f>LEN(Pattern_Bytes)-LEN(SUBSTITUTE(Pattern_Bytes,",",))</f>
        <v>6</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25</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t="s">
        <v>0</v>
      </c>
      <c r="F40" s="36" t="s">
        <v>0</v>
      </c>
      <c r="G40" s="36"/>
      <c r="H40" s="36"/>
      <c r="I40" s="36" t="s">
        <v>0</v>
      </c>
      <c r="J40" s="36" t="s">
        <v>0</v>
      </c>
      <c r="K40" s="36" t="s">
        <v>0</v>
      </c>
      <c r="L40" s="36" t="s">
        <v>0</v>
      </c>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4" t="s">
        <v>3</v>
      </c>
      <c r="E41" s="36"/>
      <c r="F41" s="48"/>
      <c r="G41" s="37" t="s">
        <v>0</v>
      </c>
      <c r="H41" s="48"/>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58" t="s">
        <v>2</v>
      </c>
      <c r="E42" s="37"/>
      <c r="F42" s="48" t="s">
        <v>0</v>
      </c>
      <c r="G42" s="37"/>
      <c r="H42" s="48" t="s">
        <v>0</v>
      </c>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2" t="s">
        <v>4</v>
      </c>
      <c r="E43" s="36" t="s">
        <v>0</v>
      </c>
      <c r="F43" s="36" t="s">
        <v>0</v>
      </c>
      <c r="G43" s="36" t="s">
        <v>0</v>
      </c>
      <c r="H43" s="36" t="s">
        <v>0</v>
      </c>
      <c r="I43" s="36" t="s">
        <v>0</v>
      </c>
      <c r="J43" s="36" t="s">
        <v>0</v>
      </c>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4" t="s">
        <v>6</v>
      </c>
      <c r="E44" s="30"/>
      <c r="F44" s="30"/>
      <c r="G44" s="30"/>
      <c r="H44" s="30"/>
      <c r="I44" s="30"/>
      <c r="J44" s="30"/>
      <c r="K44" s="37" t="s">
        <v>0</v>
      </c>
      <c r="L44" s="30"/>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58" t="s">
        <v>5</v>
      </c>
      <c r="E45" s="30"/>
      <c r="F45" s="30"/>
      <c r="G45" s="30"/>
      <c r="H45" s="30"/>
      <c r="I45" s="30"/>
      <c r="J45" s="30" t="s">
        <v>0</v>
      </c>
      <c r="K45" s="30"/>
      <c r="L45" s="30" t="s">
        <v>0</v>
      </c>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9"/>
      <c r="E46" s="47"/>
      <c r="F46" s="47"/>
      <c r="G46" s="47"/>
      <c r="H46" s="47"/>
      <c r="I46" s="47"/>
      <c r="J46" s="47"/>
      <c r="K46" s="47"/>
      <c r="L46" s="47"/>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9"/>
      <c r="E47" s="50"/>
      <c r="F47" s="50"/>
      <c r="G47" s="50"/>
      <c r="H47" s="50"/>
      <c r="I47" s="50"/>
      <c r="J47" s="50"/>
      <c r="K47" s="50"/>
      <c r="L47" s="50"/>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9"/>
      <c r="E48" s="51"/>
      <c r="F48" s="52"/>
      <c r="G48" s="52"/>
      <c r="H48" s="52"/>
      <c r="I48" s="52"/>
      <c r="J48" s="52"/>
      <c r="K48" s="52"/>
      <c r="L48" s="52"/>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49"/>
      <c r="E49" s="47"/>
      <c r="F49" s="47"/>
      <c r="G49" s="47"/>
      <c r="H49" s="47"/>
      <c r="I49" s="47"/>
      <c r="J49" s="47"/>
      <c r="K49" s="47"/>
      <c r="L49" s="47"/>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9"/>
      <c r="E50" s="50"/>
      <c r="F50" s="50"/>
      <c r="G50" s="50"/>
      <c r="H50" s="50"/>
      <c r="I50" s="50"/>
      <c r="J50" s="50"/>
      <c r="K50" s="50"/>
      <c r="L50" s="50"/>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9"/>
      <c r="E51" s="52"/>
      <c r="F51" s="52"/>
      <c r="G51" s="52"/>
      <c r="H51" s="52"/>
      <c r="I51" s="52"/>
      <c r="J51" s="52"/>
      <c r="K51" s="52"/>
      <c r="L51" s="52"/>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9"/>
      <c r="E52" s="53"/>
      <c r="F52" s="53"/>
      <c r="G52" s="53"/>
      <c r="H52" s="53"/>
      <c r="I52" s="53"/>
      <c r="J52" s="53"/>
      <c r="K52" s="53"/>
      <c r="L52" s="53"/>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49"/>
      <c r="E53" s="50"/>
      <c r="F53" s="50"/>
      <c r="G53" s="50"/>
      <c r="H53" s="50"/>
      <c r="I53" s="50"/>
      <c r="J53" s="50"/>
      <c r="K53" s="50"/>
      <c r="L53" s="50"/>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49"/>
      <c r="E54" s="53"/>
      <c r="F54" s="53"/>
      <c r="G54" s="53"/>
      <c r="H54" s="53"/>
      <c r="I54" s="53"/>
      <c r="J54" s="53"/>
      <c r="K54" s="53"/>
      <c r="L54" s="53"/>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49"/>
      <c r="E55" s="53"/>
      <c r="F55" s="53"/>
      <c r="G55" s="53"/>
      <c r="H55" s="53"/>
      <c r="I55" s="53"/>
      <c r="J55" s="53"/>
      <c r="K55" s="53"/>
      <c r="L55" s="53"/>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49"/>
      <c r="E56" s="53"/>
      <c r="F56" s="53"/>
      <c r="G56" s="53"/>
      <c r="H56" s="53"/>
      <c r="I56" s="53"/>
      <c r="J56" s="53"/>
      <c r="K56" s="53"/>
      <c r="L56" s="53"/>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49"/>
      <c r="E57" s="53"/>
      <c r="F57" s="53"/>
      <c r="G57" s="53"/>
      <c r="H57" s="53"/>
      <c r="I57" s="53"/>
      <c r="J57" s="53"/>
      <c r="K57" s="53"/>
      <c r="L57" s="53"/>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E2:F2"/>
    <mergeCell ref="E3:F3"/>
    <mergeCell ref="E4:F4"/>
    <mergeCell ref="E5:F5"/>
    <mergeCell ref="E6:F6"/>
    <mergeCell ref="I73:J73"/>
    <mergeCell ref="E8:F8"/>
    <mergeCell ref="E9:F9"/>
    <mergeCell ref="E10:F10"/>
    <mergeCell ref="E11:F11"/>
    <mergeCell ref="E15:F15"/>
  </mergeCells>
  <conditionalFormatting sqref="B40:B149">
    <cfRule type="expression" dxfId="377" priority="78">
      <formula>$E$5&gt;=ROW(B40)-ROW($B$39)</formula>
    </cfRule>
  </conditionalFormatting>
  <conditionalFormatting sqref="B40:BH41 B43:BH44 B42:C42 E42:BH42 B46:BH72 B45:C45 E45:BH45 B74:BH149 B73:I73 K73:BH73">
    <cfRule type="expression" dxfId="376" priority="77">
      <formula>$E$5&gt;=ROW(B40)-ROW($B$39)</formula>
    </cfRule>
  </conditionalFormatting>
  <conditionalFormatting sqref="E21:H21">
    <cfRule type="expression" dxfId="375" priority="25">
      <formula>_xlfn.ISFORMULA(E21)</formula>
    </cfRule>
  </conditionalFormatting>
  <conditionalFormatting sqref="I21:L21">
    <cfRule type="expression" dxfId="374" priority="24">
      <formula>_xlfn.ISFORMULA(I21)</formula>
    </cfRule>
  </conditionalFormatting>
  <conditionalFormatting sqref="D42">
    <cfRule type="expression" dxfId="373" priority="9">
      <formula>$E$5&gt;=ROW(D42)-ROW($B$39)</formula>
    </cfRule>
  </conditionalFormatting>
  <conditionalFormatting sqref="D45">
    <cfRule type="expression" dxfId="372" priority="7">
      <formula>$E$5&gt;=ROW(D45)-ROW($B$39)</formula>
    </cfRule>
  </conditionalFormatting>
  <conditionalFormatting sqref="E37:F37">
    <cfRule type="expression" dxfId="371" priority="1">
      <formula>$E$37&gt;2000</formula>
    </cfRule>
    <cfRule type="expression" dxfId="370" priority="2">
      <formula>$E$37&gt;2000</formula>
    </cfRule>
    <cfRule type="expression" dxfId="369" priority="3">
      <formula>$E$37&gt;2000</formula>
    </cfRule>
    <cfRule type="expression" dxfId="368" priority="4">
      <formula>$E$37&gt;2000</formula>
    </cfRule>
    <cfRule type="expression" dxfId="367" priority="5">
      <formula>$E$37&gt;2000</formula>
    </cfRule>
    <cfRule type="expression" dxfId="366" priority="6">
      <formula>$E$37&gt;2000</formula>
    </cfRule>
  </conditionalFormatting>
  <dataValidations count="8">
    <dataValidation type="decimal" allowBlank="1" showErrorMessage="1" errorTitle="Falscher Wert" error="&quot;Bits pro Wert&quot; muss zwischen 1 und 8 liegen" sqref="E6:F6" xr:uid="{00000000-0002-0000-0700-000000000000}">
      <formula1>1</formula1>
      <formula2>8</formula2>
    </dataValidation>
    <dataValidation type="whole" allowBlank="1" showInputMessage="1" showErrorMessage="1" errorTitle="Falscher Wert" error="&quot;Wert Min&quot; muss zwischen 0 und 255 liegen" sqref="E7:F7" xr:uid="{00000000-0002-0000-07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7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7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7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700-000005000000}">
      <formula1>0</formula1>
      <formula2>255</formula2>
    </dataValidation>
    <dataValidation type="whole" allowBlank="1" showInputMessage="1" showErrorMessage="1" errorTitle="Falscher Wert" error="&quot;Wert Max&quot; mus zwischen 0 und 255 liegen" sqref="E8:F8" xr:uid="{00000000-0002-0000-0700-000006000000}">
      <formula1>0</formula1>
      <formula2>255</formula2>
    </dataValidation>
    <dataValidation type="whole" allowBlank="1" showInputMessage="1" showErrorMessage="1" errorTitle="Falscher Wert" error="Die Anzahl der Ausgabekanäle muss zwischen 1 und 765 liegen" sqref="E5:F5" xr:uid="{00000000-0002-0000-0700-000007000000}">
      <formula1>1</formula1>
      <formula2>765</formula2>
    </dataValidation>
  </dataValidations>
  <pageMargins left="0.7" right="0.7" top="0.78740157499999996" bottom="0.78740157499999996" header="0.3" footer="0.3"/>
  <pageSetup paperSize="9" orientation="portrait" horizontalDpi="300" r:id="rId1"/>
  <ignoredErrors>
    <ignoredError sqref="I21:L21" unlockedFormula="1"/>
  </ignoredError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9"/>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6</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58</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0</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PatternT1(0,128,SI_1,6,0,255,0,PF_INVERT_INP | PF_NO_SWITCH_OFF,500 ms,36,0)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62</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RGB_AmpelX_Off(LED,InNr)                       PatternT1(LED,128,InNr,6,0,255,0,PF_INVERT_INP | PF_NO_SWITCH_OFF,500 ms,36,0)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RGB_AmpelX_Off_StCh(LED,StCh,InNr)     PatternT1(LED,StCh+128,InNr,6,0,255,0,PF_INVERT_INP | PF_NO_SWITCH_OFF,500 ms,36,0)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27</v>
      </c>
      <c r="F21" s="26"/>
      <c r="G21" s="26"/>
      <c r="H21" s="26"/>
      <c r="I21" s="25"/>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500 ms</v>
      </c>
      <c r="F22" s="13" t="str">
        <f t="shared" ref="F22:AJ22" si="0">IF(AND(_xlfn.ISFORMULA(F21),G22=""),"",IF(F21&lt;&gt;"",F21,""))</f>
        <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,500 ms</v>
      </c>
      <c r="F23" s="2" t="str">
        <f t="shared" ref="F23:AJ23" si="1">IF(OR(F22&lt;&gt;"",G23&lt;&gt;""),CONCATENATE(",",IF(F22="","!",F22)),"")</f>
        <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,500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PatternT1(</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128</v>
      </c>
      <c r="F28" s="2" t="str">
        <f>DEC2BIN(E28,8)</f>
        <v>10000000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128</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4:,36,0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4</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,36,0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6,0,255,0,PF_INVERT_INP | PF_NO_SWITCH_OFF,500 ms,36,0)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RGB_AmpelX_Off(LED,NStru,InNr)    PatternT1(LED,NStru,InNr,6,0,255,0,PF_INVERT_INP | PF_NO_SWITCH_OFF,500 ms,36,0)</v>
      </c>
      <c r="F34" s="2"/>
      <c r="G34" s="2"/>
      <c r="H34" s="2"/>
      <c r="I34" s="2"/>
      <c r="J34" s="2"/>
      <c r="X34" s="2"/>
      <c r="Y34" s="14"/>
      <c r="Z34" s="2"/>
      <c r="AA34" s="2"/>
      <c r="AB34" s="2"/>
    </row>
    <row r="35" spans="2:193" hidden="1" x14ac:dyDescent="0.3">
      <c r="D35" s="17" t="s">
        <v>21</v>
      </c>
      <c r="E35" s="18">
        <v>11</v>
      </c>
      <c r="G35" s="17" t="s">
        <v>20</v>
      </c>
      <c r="H35" s="18">
        <f>2*(32-COUNTIF(E22:AJ22,""))</f>
        <v>2</v>
      </c>
      <c r="J35" s="17" t="s">
        <v>19</v>
      </c>
      <c r="K35" s="18">
        <f>LEN(Pattern_Bytes)-LEN(SUBSTITUTE(Pattern_Bytes,",",))</f>
        <v>2</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15</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c r="F40" s="36"/>
      <c r="G40" s="36"/>
      <c r="H40" s="36"/>
      <c r="I40" s="36"/>
      <c r="J40" s="36"/>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4" t="s">
        <v>3</v>
      </c>
      <c r="E41" s="36"/>
      <c r="F41" s="48"/>
      <c r="G41" s="37"/>
      <c r="H41" s="48"/>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58" t="s">
        <v>2</v>
      </c>
      <c r="E42" s="59" t="s">
        <v>0</v>
      </c>
      <c r="F42" s="48" t="s">
        <v>59</v>
      </c>
      <c r="G42" s="37"/>
      <c r="H42" s="48"/>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2" t="s">
        <v>4</v>
      </c>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4" t="s">
        <v>6</v>
      </c>
      <c r="E44" s="30"/>
      <c r="F44" s="30"/>
      <c r="G44" s="30"/>
      <c r="H44" s="30"/>
      <c r="I44" s="30"/>
      <c r="J44" s="30"/>
      <c r="K44" s="37"/>
      <c r="L44" s="30"/>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58" t="s">
        <v>5</v>
      </c>
      <c r="E45" s="30" t="s">
        <v>0</v>
      </c>
      <c r="F45" s="30"/>
      <c r="G45" s="30"/>
      <c r="H45" s="30"/>
      <c r="I45" s="30"/>
      <c r="J45" s="30"/>
      <c r="K45" s="30"/>
      <c r="L45" s="30"/>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9"/>
      <c r="E46" s="47"/>
      <c r="F46" s="47"/>
      <c r="G46" s="47"/>
      <c r="H46" s="47"/>
      <c r="I46" s="47"/>
      <c r="J46" s="47"/>
      <c r="K46" s="47"/>
      <c r="L46" s="47"/>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9"/>
      <c r="E47" s="50"/>
      <c r="F47" s="50"/>
      <c r="G47" s="50"/>
      <c r="H47" s="50"/>
      <c r="I47" s="50"/>
      <c r="J47" s="50"/>
      <c r="K47" s="50"/>
      <c r="L47" s="50"/>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9"/>
      <c r="E48" s="51"/>
      <c r="F48" s="52"/>
      <c r="G48" s="52"/>
      <c r="H48" s="52"/>
      <c r="I48" s="52"/>
      <c r="J48" s="52"/>
      <c r="K48" s="52"/>
      <c r="L48" s="52"/>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49"/>
      <c r="E49" s="47"/>
      <c r="F49" s="47"/>
      <c r="G49" s="47"/>
      <c r="H49" s="47"/>
      <c r="I49" s="47"/>
      <c r="J49" s="47"/>
      <c r="K49" s="47"/>
      <c r="L49" s="47"/>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9"/>
      <c r="E50" s="50"/>
      <c r="F50" s="50"/>
      <c r="G50" s="50"/>
      <c r="H50" s="50"/>
      <c r="I50" s="50"/>
      <c r="J50" s="50"/>
      <c r="K50" s="50"/>
      <c r="L50" s="50"/>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9"/>
      <c r="E51" s="52"/>
      <c r="F51" s="52"/>
      <c r="G51" s="52"/>
      <c r="H51" s="52"/>
      <c r="I51" s="52"/>
      <c r="J51" s="52"/>
      <c r="K51" s="52"/>
      <c r="L51" s="52"/>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9"/>
      <c r="E52" s="53"/>
      <c r="F52" s="53"/>
      <c r="G52" s="53"/>
      <c r="H52" s="53"/>
      <c r="I52" s="53"/>
      <c r="J52" s="53"/>
      <c r="K52" s="53"/>
      <c r="L52" s="53"/>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49"/>
      <c r="E53" s="50"/>
      <c r="F53" s="50"/>
      <c r="G53" s="50"/>
      <c r="H53" s="50"/>
      <c r="I53" s="50"/>
      <c r="J53" s="50"/>
      <c r="K53" s="50"/>
      <c r="L53" s="50"/>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49"/>
      <c r="E54" s="53"/>
      <c r="F54" s="53"/>
      <c r="G54" s="53"/>
      <c r="H54" s="53"/>
      <c r="I54" s="53"/>
      <c r="J54" s="53"/>
      <c r="K54" s="53"/>
      <c r="L54" s="53"/>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49"/>
      <c r="E55" s="53"/>
      <c r="F55" s="53"/>
      <c r="G55" s="53"/>
      <c r="H55" s="53"/>
      <c r="I55" s="53"/>
      <c r="J55" s="53"/>
      <c r="K55" s="53"/>
      <c r="L55" s="53"/>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49"/>
      <c r="E56" s="53"/>
      <c r="F56" s="53"/>
      <c r="G56" s="53"/>
      <c r="H56" s="53"/>
      <c r="I56" s="53"/>
      <c r="J56" s="53"/>
      <c r="K56" s="53"/>
      <c r="L56" s="53"/>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49"/>
      <c r="E57" s="53"/>
      <c r="F57" s="53"/>
      <c r="G57" s="53"/>
      <c r="H57" s="53"/>
      <c r="I57" s="53"/>
      <c r="J57" s="53"/>
      <c r="K57" s="53"/>
      <c r="L57" s="53"/>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365" priority="12">
      <formula>$E$5&gt;=ROW(B40)-ROW($B$39)</formula>
    </cfRule>
  </conditionalFormatting>
  <conditionalFormatting sqref="B40:BH41 B43:BH44 B42:C42 E42:BH42 B46:BH72 B45:C45 E45:BH45 B74:BH149 B73:I73 K73:BH73">
    <cfRule type="expression" dxfId="364" priority="11">
      <formula>$E$5&gt;=ROW(B40)-ROW($B$39)</formula>
    </cfRule>
  </conditionalFormatting>
  <conditionalFormatting sqref="E21:H21">
    <cfRule type="expression" dxfId="363" priority="10">
      <formula>_xlfn.ISFORMULA(E21)</formula>
    </cfRule>
  </conditionalFormatting>
  <conditionalFormatting sqref="I21:L21">
    <cfRule type="expression" dxfId="362" priority="9">
      <formula>_xlfn.ISFORMULA(I21)</formula>
    </cfRule>
  </conditionalFormatting>
  <conditionalFormatting sqref="D42">
    <cfRule type="expression" dxfId="361" priority="8">
      <formula>$E$5&gt;=ROW(D42)-ROW($B$39)</formula>
    </cfRule>
  </conditionalFormatting>
  <conditionalFormatting sqref="D45">
    <cfRule type="expression" dxfId="360" priority="7">
      <formula>$E$5&gt;=ROW(D45)-ROW($B$39)</formula>
    </cfRule>
  </conditionalFormatting>
  <conditionalFormatting sqref="E37:F37">
    <cfRule type="expression" dxfId="359" priority="1">
      <formula>$E$37&gt;2000</formula>
    </cfRule>
    <cfRule type="expression" dxfId="358" priority="2">
      <formula>$E$37&gt;2000</formula>
    </cfRule>
    <cfRule type="expression" dxfId="357" priority="3">
      <formula>$E$37&gt;2000</formula>
    </cfRule>
    <cfRule type="expression" dxfId="356" priority="4">
      <formula>$E$37&gt;2000</formula>
    </cfRule>
    <cfRule type="expression" dxfId="355" priority="5">
      <formula>$E$37&gt;2000</formula>
    </cfRule>
    <cfRule type="expression" dxfId="354" priority="6">
      <formula>$E$37&gt;2000</formula>
    </cfRule>
  </conditionalFormatting>
  <dataValidations count="8">
    <dataValidation type="whole" allowBlank="1" showInputMessage="1" showErrorMessage="1" errorTitle="Falscher Wert" error="&quot;Wert Max&quot; mus zwischen 0 und 255 liegen" sqref="E8:F8" xr:uid="{00000000-0002-0000-0800-000000000000}">
      <formula1>0</formula1>
      <formula2>255</formula2>
    </dataValidation>
    <dataValidation type="whole" allowBlank="1" showInputMessage="1" showErrorMessage="1" errorTitle="Falscher Wert" error="&quot;Wert ausgeschaltet&quot; muss zwischen 0 und 255 liegen." sqref="E9:F9" xr:uid="{00000000-0002-0000-08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8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8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8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800-000005000000}">
      <formula1>0</formula1>
      <formula2>255</formula2>
    </dataValidation>
    <dataValidation type="decimal" allowBlank="1" showErrorMessage="1" errorTitle="Falscher Wert" error="&quot;Bits pro Wert&quot; muss zwischen 1 und 8 liegen" sqref="E6:F6" xr:uid="{00000000-0002-0000-0800-000006000000}">
      <formula1>1</formula1>
      <formula2>8</formula2>
    </dataValidation>
    <dataValidation type="whole" allowBlank="1" showInputMessage="1" showErrorMessage="1" errorTitle="Falscher Wert" error="Die Anzahl der Ausgabekanäle muss zwischen 1 und 765 liegen" sqref="E5:F5" xr:uid="{00000000-0002-0000-08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18</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52</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0</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PatternT4(0,0,SI_1,18,0,255,0,PF_NO_SWITCH_OFF,2 Sec,1 Sec,10 Sec,3 Sec,1,2,100,8,0,40,0,134,0,1,2,4,200,16,0,80,0,12)</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47</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RGB_AmpelX(LED,InNr)                       PatternT4(LED,0,InNr,18,0,255,0,PF_NO_SWITCH_OFF,2 Sec,1 Sec,10 Sec,3 Sec,1,2,100,8,0,40,0,134,0,1,2,4,200,16,0,80,0,12)</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RGB_AmpelX_StCh(LED,StCh,InNr)     PatternT4(LED,StCh+0,InNr,18,0,255,0,PF_NO_SWITCH_OFF,2 Sec,1 Sec,10 Sec,3 Sec,1,2,100,8,0,40,0,134,0,1,2,4,200,16,0,80,0,12)</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24</v>
      </c>
      <c r="F21" s="26" t="s">
        <v>25</v>
      </c>
      <c r="G21" s="26" t="s">
        <v>23</v>
      </c>
      <c r="H21" s="26" t="s">
        <v>26</v>
      </c>
      <c r="I21" s="25" t="str">
        <f>E21</f>
        <v>2 Sec</v>
      </c>
      <c r="J21" s="25" t="str">
        <f>F21</f>
        <v>1 Sec</v>
      </c>
      <c r="K21" s="25" t="str">
        <f>G21</f>
        <v>10 Sec</v>
      </c>
      <c r="L21" s="25" t="str">
        <f>H21</f>
        <v>3 Sec</v>
      </c>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2 Sec</v>
      </c>
      <c r="F22" s="13" t="str">
        <f t="shared" ref="F22:AJ22" si="0">IF(AND(_xlfn.ISFORMULA(F21),G22=""),"",IF(F21&lt;&gt;"",F21,""))</f>
        <v>1 Sec</v>
      </c>
      <c r="G22" s="13" t="str">
        <f t="shared" si="0"/>
        <v>10 Sec</v>
      </c>
      <c r="H22" s="13" t="str">
        <f t="shared" si="0"/>
        <v>3 Sec</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,2 Sec</v>
      </c>
      <c r="F23" s="2" t="str">
        <f t="shared" ref="F23:AJ23" si="1">IF(OR(F22&lt;&gt;"",G23&lt;&gt;""),CONCATENATE(",",IF(F22="","!",F22)),"")</f>
        <v>,1 Sec</v>
      </c>
      <c r="G23" s="2" t="str">
        <f t="shared" si="1"/>
        <v>,10 Sec</v>
      </c>
      <c r="H23" s="2" t="str">
        <f t="shared" si="1"/>
        <v>,3 Sec</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,2 Sec,1 Sec,10 Sec,3 Sec</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PatternT4(</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0:,1,2,100,8,0,40,0,134,0,1,2,4,200,16,0,80,0,12</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,1,2,100,8,0,40,0,134,0,1,2,4,200,16,0,80,0,12</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18,0,255,0,PF_NO_SWITCH_OFF,2 Sec,1 Sec,10 Sec,3 Sec,1,2,100,8,0,40,0,134,0,1,2,4,200,16,0,80,0,12)</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RGB_AmpelX(LED,NStru,InNr)    PatternT4(LED,NStru,InNr,18,0,255,0,PF_NO_SWITCH_OFF,2 Sec,1 Sec,10 Sec,3 Sec,1,2,100,8,0,40,0,134,0,1,2,4,200,16,0,80,0,12)</v>
      </c>
      <c r="F34" s="2"/>
      <c r="G34" s="2"/>
      <c r="H34" s="2"/>
      <c r="I34" s="2"/>
      <c r="J34" s="2"/>
      <c r="X34" s="2"/>
      <c r="Y34" s="14"/>
      <c r="Z34" s="2"/>
      <c r="AA34" s="2"/>
      <c r="AB34" s="2"/>
    </row>
    <row r="35" spans="2:193" hidden="1" x14ac:dyDescent="0.3">
      <c r="D35" s="17" t="s">
        <v>21</v>
      </c>
      <c r="E35" s="18">
        <v>11</v>
      </c>
      <c r="G35" s="17" t="s">
        <v>20</v>
      </c>
      <c r="H35" s="18">
        <f>2*(32-COUNTIF(E22:AJ22,""))</f>
        <v>8</v>
      </c>
      <c r="J35" s="17" t="s">
        <v>19</v>
      </c>
      <c r="K35" s="18">
        <f>LEN(Pattern_Bytes)-LEN(SUBSTITUTE(Pattern_Bytes,",",))</f>
        <v>18</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37</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t="s">
        <v>0</v>
      </c>
      <c r="F40" s="36" t="s">
        <v>0</v>
      </c>
      <c r="G40" s="36"/>
      <c r="H40" s="36"/>
      <c r="I40" s="36" t="s">
        <v>0</v>
      </c>
      <c r="J40" s="36" t="s">
        <v>0</v>
      </c>
      <c r="K40" s="36" t="s">
        <v>0</v>
      </c>
      <c r="L40" s="36" t="s">
        <v>0</v>
      </c>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32"/>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3" t="s">
        <v>2</v>
      </c>
      <c r="E43" s="36"/>
      <c r="F43" s="36" t="s">
        <v>0</v>
      </c>
      <c r="G43" s="36"/>
      <c r="H43" s="36" t="s">
        <v>0</v>
      </c>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3" t="s">
        <v>2</v>
      </c>
      <c r="E44" s="37"/>
      <c r="F44" s="37" t="s">
        <v>0</v>
      </c>
      <c r="G44" s="37"/>
      <c r="H44" s="37" t="s">
        <v>0</v>
      </c>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4" t="s">
        <v>3</v>
      </c>
      <c r="E47" s="37"/>
      <c r="F47" s="37"/>
      <c r="G47" s="37" t="s">
        <v>0</v>
      </c>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4"/>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2" t="s">
        <v>4</v>
      </c>
      <c r="E49" s="36" t="s">
        <v>0</v>
      </c>
      <c r="F49" s="36" t="s">
        <v>0</v>
      </c>
      <c r="G49" s="36" t="s">
        <v>0</v>
      </c>
      <c r="H49" s="36" t="s">
        <v>0</v>
      </c>
      <c r="I49" s="36" t="s">
        <v>0</v>
      </c>
      <c r="J49" s="36" t="s">
        <v>0</v>
      </c>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3" t="s">
        <v>5</v>
      </c>
      <c r="E52" s="30"/>
      <c r="F52" s="30"/>
      <c r="G52" s="30"/>
      <c r="H52" s="30"/>
      <c r="I52" s="30"/>
      <c r="J52" s="30" t="s">
        <v>0</v>
      </c>
      <c r="K52" s="30"/>
      <c r="L52" s="30" t="s">
        <v>0</v>
      </c>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3" t="s">
        <v>5</v>
      </c>
      <c r="E53" s="37"/>
      <c r="F53" s="37"/>
      <c r="G53" s="37"/>
      <c r="H53" s="37"/>
      <c r="I53" s="37"/>
      <c r="J53" s="37" t="s">
        <v>0</v>
      </c>
      <c r="K53" s="37"/>
      <c r="L53" s="37" t="s">
        <v>0</v>
      </c>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4" t="s">
        <v>6</v>
      </c>
      <c r="E56" s="30"/>
      <c r="F56" s="30"/>
      <c r="G56" s="30"/>
      <c r="H56" s="30"/>
      <c r="I56" s="30"/>
      <c r="J56" s="30"/>
      <c r="K56" s="30" t="s">
        <v>0</v>
      </c>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E2:F2"/>
    <mergeCell ref="E3:F3"/>
    <mergeCell ref="E4:F4"/>
    <mergeCell ref="E5:F5"/>
    <mergeCell ref="E6:F6"/>
    <mergeCell ref="I73:J73"/>
    <mergeCell ref="E8:F8"/>
    <mergeCell ref="E9:F9"/>
    <mergeCell ref="E10:F10"/>
    <mergeCell ref="E11:F11"/>
    <mergeCell ref="E15:F15"/>
  </mergeCells>
  <conditionalFormatting sqref="B40 B58:B149">
    <cfRule type="expression" dxfId="353" priority="61">
      <formula>$E$5&gt;=ROW(B40)-ROW($B$39)</formula>
    </cfRule>
  </conditionalFormatting>
  <conditionalFormatting sqref="B40:BH72 B74:BH149 B73:I73 K73:BH73">
    <cfRule type="expression" dxfId="352" priority="60">
      <formula>$E$5&gt;=ROW(B40)-ROW($B$39)</formula>
    </cfRule>
  </conditionalFormatting>
  <conditionalFormatting sqref="E21:H21">
    <cfRule type="expression" dxfId="351" priority="8">
      <formula>_xlfn.ISFORMULA(E21)</formula>
    </cfRule>
  </conditionalFormatting>
  <conditionalFormatting sqref="I21:L21">
    <cfRule type="expression" dxfId="350" priority="7">
      <formula>_xlfn.ISFORMULA(I21)</formula>
    </cfRule>
  </conditionalFormatting>
  <conditionalFormatting sqref="E37:F37">
    <cfRule type="expression" dxfId="349" priority="1">
      <formula>$E$37&gt;2000</formula>
    </cfRule>
    <cfRule type="expression" dxfId="348" priority="2">
      <formula>$E$37&gt;2000</formula>
    </cfRule>
    <cfRule type="expression" dxfId="347" priority="3">
      <formula>$E$37&gt;2000</formula>
    </cfRule>
    <cfRule type="expression" dxfId="346" priority="4">
      <formula>$E$37&gt;2000</formula>
    </cfRule>
    <cfRule type="expression" dxfId="345" priority="5">
      <formula>$E$37&gt;2000</formula>
    </cfRule>
    <cfRule type="expression" dxfId="344" priority="6">
      <formula>$E$37&gt;2000</formula>
    </cfRule>
  </conditionalFormatting>
  <dataValidations disablePrompts="1" count="8">
    <dataValidation type="whole" allowBlank="1" showInputMessage="1" showErrorMessage="1" errorTitle="Falscher Wert" error="&quot;Wert Max&quot; mus zwischen 0 und 255 liegen" sqref="E8:F8" xr:uid="{00000000-0002-0000-0900-000000000000}">
      <formula1>0</formula1>
      <formula2>255</formula2>
    </dataValidation>
    <dataValidation type="whole" allowBlank="1" showInputMessage="1" showErrorMessage="1" errorTitle="Falscher Wert" error="&quot;Wert ausgeschaltet&quot; muss zwischen 0 und 255 liegen." sqref="E9:F9" xr:uid="{00000000-0002-0000-09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9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9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9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900-000005000000}">
      <formula1>0</formula1>
      <formula2>255</formula2>
    </dataValidation>
    <dataValidation type="decimal" allowBlank="1" showErrorMessage="1" errorTitle="Falscher Wert" error="&quot;Bits pro Wert&quot; muss zwischen 1 und 8 liegen" sqref="E6:F6" xr:uid="{00000000-0002-0000-0900-000006000000}">
      <formula1>1</formula1>
      <formula2>8</formula2>
    </dataValidation>
    <dataValidation type="whole" allowBlank="1" showInputMessage="1" showErrorMessage="1" errorTitle="Falscher Wert" error="Die Anzahl der Ausgabekanäle muss zwischen 1 und 765 liegen" sqref="E5:F5" xr:uid="{00000000-0002-0000-09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8"/>
  <dimension ref="B1:GM139"/>
  <sheetViews>
    <sheetView showGridLines="0" workbookViewId="0">
      <selection activeCell="D64" sqref="D64"/>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18</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58</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0</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PatternT1(0,128,SI_1,18,0,255,0,PF_INVERT_INP | PF_NO_SWITCH_OFF,500 ms,24,48,0,0,0)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47</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RGB_AmpelX(LED,InNr)                       PatternT1(LED,128,InNr,18,0,255,0,PF_INVERT_INP | PF_NO_SWITCH_OFF,500 ms,24,48,0,0,0)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RGB_AmpelX_StCh(LED,StCh,InNr)     PatternT1(LED,StCh+128,InNr,18,0,255,0,PF_INVERT_INP | PF_NO_SWITCH_OFF,500 ms,24,48,0,0,0)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27</v>
      </c>
      <c r="F21" s="26"/>
      <c r="G21" s="26"/>
      <c r="H21" s="26"/>
      <c r="I21" s="25"/>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500 ms</v>
      </c>
      <c r="F22" s="13" t="str">
        <f t="shared" ref="F22:AJ22" si="0">IF(AND(_xlfn.ISFORMULA(F21),G22=""),"",IF(F21&lt;&gt;"",F21,""))</f>
        <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,500 ms</v>
      </c>
      <c r="F23" s="2" t="str">
        <f t="shared" ref="F23:AJ23" si="1">IF(OR(F22&lt;&gt;"",G23&lt;&gt;""),CONCATENATE(",",IF(F22="","!",F22)),"")</f>
        <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,500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PatternT1(</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128</v>
      </c>
      <c r="F28" s="2" t="str">
        <f>DEC2BIN(E28,8)</f>
        <v>10000000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128</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4:,24,48,0,0,0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4</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,24,48,0,0,0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18,0,255,0,PF_INVERT_INP | PF_NO_SWITCH_OFF,500 ms,24,48,0,0,0)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RGB_AmpelX(LED,NStru,InNr)    PatternT1(LED,NStru,InNr,18,0,255,0,PF_INVERT_INP | PF_NO_SWITCH_OFF,500 ms,24,48,0,0,0)</v>
      </c>
      <c r="F34" s="2"/>
      <c r="G34" s="2"/>
      <c r="H34" s="2"/>
      <c r="I34" s="2"/>
      <c r="J34" s="2"/>
      <c r="X34" s="2"/>
      <c r="Y34" s="14"/>
      <c r="Z34" s="2"/>
      <c r="AA34" s="2"/>
      <c r="AB34" s="2"/>
    </row>
    <row r="35" spans="2:193" hidden="1" x14ac:dyDescent="0.3">
      <c r="D35" s="17" t="s">
        <v>21</v>
      </c>
      <c r="E35" s="18">
        <v>11</v>
      </c>
      <c r="G35" s="17" t="s">
        <v>20</v>
      </c>
      <c r="H35" s="18">
        <f>2*(32-COUNTIF(E22:AJ22,""))</f>
        <v>2</v>
      </c>
      <c r="J35" s="17" t="s">
        <v>19</v>
      </c>
      <c r="K35" s="18">
        <f>LEN(Pattern_Bytes)-LEN(SUBSTITUTE(Pattern_Bytes,",",))</f>
        <v>5</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18</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c r="F40" s="36" t="s">
        <v>59</v>
      </c>
      <c r="G40" s="36"/>
      <c r="H40" s="36"/>
      <c r="I40" s="36"/>
      <c r="J40" s="36"/>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32"/>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3" t="s">
        <v>2</v>
      </c>
      <c r="E43" s="36" t="s">
        <v>0</v>
      </c>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3" t="s">
        <v>2</v>
      </c>
      <c r="E44" s="37" t="s">
        <v>0</v>
      </c>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4" t="s">
        <v>3</v>
      </c>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4"/>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2" t="s">
        <v>4</v>
      </c>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3" t="s">
        <v>5</v>
      </c>
      <c r="E52" s="30" t="s">
        <v>0</v>
      </c>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3" t="s">
        <v>5</v>
      </c>
      <c r="E53" s="37" t="s">
        <v>0</v>
      </c>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4" t="s">
        <v>6</v>
      </c>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 B58:B149">
    <cfRule type="expression" dxfId="343" priority="10">
      <formula>$E$5&gt;=ROW(B40)-ROW($B$39)</formula>
    </cfRule>
  </conditionalFormatting>
  <conditionalFormatting sqref="B40:BH72 B74:BH149 B73:I73 K73:BH73">
    <cfRule type="expression" dxfId="342" priority="9">
      <formula>$E$5&gt;=ROW(B40)-ROW($B$39)</formula>
    </cfRule>
  </conditionalFormatting>
  <conditionalFormatting sqref="E21:H21">
    <cfRule type="expression" dxfId="341" priority="8">
      <formula>_xlfn.ISFORMULA(E21)</formula>
    </cfRule>
  </conditionalFormatting>
  <conditionalFormatting sqref="I21:L21">
    <cfRule type="expression" dxfId="340" priority="7">
      <formula>_xlfn.ISFORMULA(I21)</formula>
    </cfRule>
  </conditionalFormatting>
  <conditionalFormatting sqref="E37:F37">
    <cfRule type="expression" dxfId="339" priority="1">
      <formula>$E$37&gt;2000</formula>
    </cfRule>
    <cfRule type="expression" dxfId="338" priority="2">
      <formula>$E$37&gt;2000</formula>
    </cfRule>
    <cfRule type="expression" dxfId="337" priority="3">
      <formula>$E$37&gt;2000</formula>
    </cfRule>
    <cfRule type="expression" dxfId="336" priority="4">
      <formula>$E$37&gt;2000</formula>
    </cfRule>
    <cfRule type="expression" dxfId="335" priority="5">
      <formula>$E$37&gt;2000</formula>
    </cfRule>
    <cfRule type="expression" dxfId="334" priority="6">
      <formula>$E$37&gt;2000</formula>
    </cfRule>
  </conditionalFormatting>
  <dataValidations count="8">
    <dataValidation type="decimal" allowBlank="1" showErrorMessage="1" errorTitle="Falscher Wert" error="&quot;Bits pro Wert&quot; muss zwischen 1 und 8 liegen" sqref="E6:F6" xr:uid="{00000000-0002-0000-0A00-000000000000}">
      <formula1>1</formula1>
      <formula2>8</formula2>
    </dataValidation>
    <dataValidation type="whole" allowBlank="1" showInputMessage="1" showErrorMessage="1" errorTitle="Falscher Wert" error="&quot;Wert Min&quot; muss zwischen 0 und 255 liegen" sqref="E7:F7" xr:uid="{00000000-0002-0000-0A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A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A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A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A00-000005000000}">
      <formula1>0</formula1>
      <formula2>255</formula2>
    </dataValidation>
    <dataValidation type="whole" allowBlank="1" showInputMessage="1" showErrorMessage="1" errorTitle="Falscher Wert" error="&quot;Wert Max&quot; mus zwischen 0 und 255 liegen" sqref="E8:F8" xr:uid="{00000000-0002-0000-0A00-000006000000}">
      <formula1>0</formula1>
      <formula2>255</formula2>
    </dataValidation>
    <dataValidation type="whole" allowBlank="1" showInputMessage="1" showErrorMessage="1" errorTitle="Falscher Wert" error="Die Anzahl der Ausgabekanäle muss zwischen 1 und 765 liegen" sqref="E5:F5" xr:uid="{00000000-0002-0000-0A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B1:GM139"/>
  <sheetViews>
    <sheetView showGridLines="0" zoomScaleNormal="100" workbookViewId="0">
      <selection activeCell="E7" sqref="E7:F7"/>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18</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52</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APatternT8(0,0,SI_1,18,0,255,0,PF_NO_SWITCH_OFF,200 ms,2 Sec,200 ms,1 Sec,200 ms,10 Sec,200 ms,3 Sec,1,2,4,8,144,33,64,134,0,128,2,0,10,128,33,0,134,0,1,2,4,8,16,32,67,128,12,1,0,5,0,20,0,67,0,12)</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60</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RGB_AmpelX_Fade(LED,InNr)                       APatternT8(LED,0,InNr,18,0,255,0,PF_NO_SWITCH_OFF,200 ms,2 Sec,200 ms,1 Sec,200 ms,10 Sec,200 ms,3 Sec,1,2,4,8,144,33,64,134,0,128,2,0,10,128,33,0,134,0,1,2,4,8,16,32,67,128,12,1,0,5,0,20,0,67,0,12)</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RGB_AmpelX_Fade_StCh(LED,StCh,InNr)     APatternT8(LED,StCh+0,InNr,18,0,255,0,PF_NO_SWITCH_OFF,200 ms,2 Sec,200 ms,1 Sec,200 ms,10 Sec,200 ms,3 Sec,1,2,4,8,144,33,64,134,0,128,2,0,10,128,33,0,134,0,1,2,4,8,16,32,67,128,12,1,0,5,0,20,0,67,0,12)</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63</v>
      </c>
      <c r="F21" s="25" t="s">
        <v>24</v>
      </c>
      <c r="G21" s="26" t="s">
        <v>63</v>
      </c>
      <c r="H21" s="26" t="s">
        <v>25</v>
      </c>
      <c r="I21" s="26" t="s">
        <v>63</v>
      </c>
      <c r="J21" s="26" t="s">
        <v>23</v>
      </c>
      <c r="K21" s="26" t="s">
        <v>63</v>
      </c>
      <c r="L21" s="26" t="s">
        <v>26</v>
      </c>
      <c r="M21" s="25" t="str">
        <f>E21</f>
        <v>200 ms</v>
      </c>
      <c r="N21" s="25" t="str">
        <f t="shared" ref="N21:T21" si="0">F21</f>
        <v>2 Sec</v>
      </c>
      <c r="O21" s="25" t="str">
        <f t="shared" si="0"/>
        <v>200 ms</v>
      </c>
      <c r="P21" s="25" t="str">
        <f t="shared" si="0"/>
        <v>1 Sec</v>
      </c>
      <c r="Q21" s="25" t="str">
        <f t="shared" si="0"/>
        <v>200 ms</v>
      </c>
      <c r="R21" s="25" t="str">
        <f t="shared" si="0"/>
        <v>10 Sec</v>
      </c>
      <c r="S21" s="25" t="str">
        <f t="shared" si="0"/>
        <v>200 ms</v>
      </c>
      <c r="T21" s="25" t="str">
        <f t="shared" si="0"/>
        <v>3 Sec</v>
      </c>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200 ms</v>
      </c>
      <c r="F22" s="13" t="str">
        <f t="shared" ref="F22:AJ22" si="1">IF(AND(_xlfn.ISFORMULA(F21),G22=""),"",IF(F21&lt;&gt;"",F21,""))</f>
        <v>2 Sec</v>
      </c>
      <c r="G22" s="13" t="str">
        <f t="shared" si="1"/>
        <v>200 ms</v>
      </c>
      <c r="H22" s="13" t="str">
        <f t="shared" si="1"/>
        <v>1 Sec</v>
      </c>
      <c r="I22" s="13" t="str">
        <f t="shared" si="1"/>
        <v>200 ms</v>
      </c>
      <c r="J22" s="13" t="str">
        <f t="shared" si="1"/>
        <v>10 Sec</v>
      </c>
      <c r="K22" s="13" t="str">
        <f t="shared" si="1"/>
        <v>200 ms</v>
      </c>
      <c r="L22" s="13" t="str">
        <f t="shared" si="1"/>
        <v>3 Sec</v>
      </c>
      <c r="M22" s="13" t="str">
        <f t="shared" si="1"/>
        <v/>
      </c>
      <c r="N22" s="13" t="str">
        <f t="shared" si="1"/>
        <v/>
      </c>
      <c r="O22" s="13" t="str">
        <f t="shared" si="1"/>
        <v/>
      </c>
      <c r="P22" s="13" t="str">
        <f t="shared" si="1"/>
        <v/>
      </c>
      <c r="Q22" s="13" t="str">
        <f t="shared" si="1"/>
        <v/>
      </c>
      <c r="R22" s="13" t="str">
        <f t="shared" si="1"/>
        <v/>
      </c>
      <c r="S22" s="13" t="str">
        <f t="shared" si="1"/>
        <v/>
      </c>
      <c r="T22" s="13" t="str">
        <f t="shared" si="1"/>
        <v/>
      </c>
      <c r="U22" s="13" t="str">
        <f t="shared" si="1"/>
        <v/>
      </c>
      <c r="V22" s="13" t="str">
        <f t="shared" si="1"/>
        <v/>
      </c>
      <c r="W22" s="13" t="str">
        <f t="shared" si="1"/>
        <v/>
      </c>
      <c r="X22" s="13" t="str">
        <f t="shared" si="1"/>
        <v/>
      </c>
      <c r="Y22" s="13" t="str">
        <f t="shared" si="1"/>
        <v/>
      </c>
      <c r="Z22" s="13" t="str">
        <f t="shared" si="1"/>
        <v/>
      </c>
      <c r="AA22" s="13" t="str">
        <f t="shared" si="1"/>
        <v/>
      </c>
      <c r="AB22" s="13" t="str">
        <f t="shared" si="1"/>
        <v/>
      </c>
      <c r="AC22" s="13" t="str">
        <f t="shared" si="1"/>
        <v/>
      </c>
      <c r="AD22" s="13" t="str">
        <f t="shared" si="1"/>
        <v/>
      </c>
      <c r="AE22" s="13" t="str">
        <f t="shared" si="1"/>
        <v/>
      </c>
      <c r="AF22" s="13" t="str">
        <f t="shared" si="1"/>
        <v/>
      </c>
      <c r="AG22" s="13" t="str">
        <f t="shared" si="1"/>
        <v/>
      </c>
      <c r="AH22" s="13" t="str">
        <f t="shared" si="1"/>
        <v/>
      </c>
      <c r="AI22" s="13" t="str">
        <f t="shared" si="1"/>
        <v/>
      </c>
      <c r="AJ22" s="13" t="str">
        <f t="shared" si="1"/>
        <v/>
      </c>
    </row>
    <row r="23" spans="4:73" s="2" customFormat="1" hidden="1" x14ac:dyDescent="0.3">
      <c r="E23" s="2" t="str">
        <f>IF(OR(E22&lt;&gt;"",F23&lt;&gt;""),CONCATENATE(",",IF(E22="","!",E22)),"")</f>
        <v>,200 ms</v>
      </c>
      <c r="F23" s="2" t="str">
        <f t="shared" ref="F23:AJ23" si="2">IF(OR(F22&lt;&gt;"",G23&lt;&gt;""),CONCATENATE(",",IF(F22="","!",F22)),"")</f>
        <v>,2 Sec</v>
      </c>
      <c r="G23" s="2" t="str">
        <f t="shared" si="2"/>
        <v>,200 ms</v>
      </c>
      <c r="H23" s="2" t="str">
        <f t="shared" si="2"/>
        <v>,1 Sec</v>
      </c>
      <c r="I23" s="2" t="str">
        <f t="shared" si="2"/>
        <v>,200 ms</v>
      </c>
      <c r="J23" s="2" t="str">
        <f t="shared" si="2"/>
        <v>,10 Sec</v>
      </c>
      <c r="K23" s="2" t="str">
        <f t="shared" si="2"/>
        <v>,200 ms</v>
      </c>
      <c r="L23" s="2" t="str">
        <f t="shared" si="2"/>
        <v>,3 Sec</v>
      </c>
      <c r="M23" s="2" t="str">
        <f t="shared" si="2"/>
        <v/>
      </c>
      <c r="N23" s="2" t="str">
        <f t="shared" si="2"/>
        <v/>
      </c>
      <c r="O23" s="2" t="str">
        <f t="shared" si="2"/>
        <v/>
      </c>
      <c r="P23" s="2" t="str">
        <f t="shared" si="2"/>
        <v/>
      </c>
      <c r="Q23" s="2" t="str">
        <f t="shared" si="2"/>
        <v/>
      </c>
      <c r="R23" s="2" t="str">
        <f t="shared" si="2"/>
        <v/>
      </c>
      <c r="S23" s="2" t="str">
        <f t="shared" si="2"/>
        <v/>
      </c>
      <c r="T23" s="2" t="str">
        <f t="shared" si="2"/>
        <v/>
      </c>
      <c r="U23" s="2" t="str">
        <f t="shared" si="2"/>
        <v/>
      </c>
      <c r="V23" s="2" t="str">
        <f t="shared" si="2"/>
        <v/>
      </c>
      <c r="W23" s="2" t="str">
        <f t="shared" si="2"/>
        <v/>
      </c>
      <c r="X23" s="2" t="str">
        <f t="shared" si="2"/>
        <v/>
      </c>
      <c r="Y23" s="2" t="str">
        <f t="shared" si="2"/>
        <v/>
      </c>
      <c r="Z23" s="2" t="str">
        <f t="shared" si="2"/>
        <v/>
      </c>
      <c r="AA23" s="2" t="str">
        <f t="shared" si="2"/>
        <v/>
      </c>
      <c r="AB23" s="2" t="str">
        <f t="shared" si="2"/>
        <v/>
      </c>
      <c r="AC23" s="2" t="str">
        <f t="shared" si="2"/>
        <v/>
      </c>
      <c r="AD23" s="2" t="str">
        <f t="shared" si="2"/>
        <v/>
      </c>
      <c r="AE23" s="2" t="str">
        <f t="shared" si="2"/>
        <v/>
      </c>
      <c r="AF23" s="2" t="str">
        <f t="shared" si="2"/>
        <v/>
      </c>
      <c r="AG23" s="2" t="str">
        <f t="shared" si="2"/>
        <v/>
      </c>
      <c r="AH23" s="2" t="str">
        <f t="shared" si="2"/>
        <v/>
      </c>
      <c r="AI23" s="2" t="str">
        <f t="shared" si="2"/>
        <v/>
      </c>
      <c r="AJ23" s="2" t="str">
        <f t="shared" si="2"/>
        <v/>
      </c>
    </row>
    <row r="24" spans="4:73" s="2" customFormat="1" hidden="1" x14ac:dyDescent="0.3">
      <c r="D24" s="17" t="s">
        <v>14</v>
      </c>
      <c r="E24" s="14" t="str">
        <f>CONCATENATE(E23,F23,G23,H23,I23,J23,K23,L23,M23,N23,O23,P23,Q23,R23,S23,T23,U23,V23,W23,X23)</f>
        <v>,200 ms,2 Sec,200 ms,1 Sec,200 ms,10 Sec,200 ms,3 Sec</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APatternT8(</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0:,1,2,4,8,144,33,64,134,0,128,2,0,10,128,33,0,134,0,1,2,4,8,16,32,67,128,12,1,0,5,0,20,0,67,0,12</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,1,2,4,8,144,33,64,134,0,128,2,0,10,128,33,0,134,0,1,2,4,8,16,32,67,128,12,1,0,5,0,20,0,67,0,12</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18,0,255,0,PF_NO_SWITCH_OFF,200 ms,2 Sec,200 ms,1 Sec,200 ms,10 Sec,200 ms,3 Sec,1,2,4,8,144,33,64,134,0,128,2,0,10,128,33,0,134,0,1,2,4,8,16,32,67,128,12,1,0,5,0,20,0,67,0,12)</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RGB_AmpelX_Fade(LED,NStru,InNr)    APatternT8(LED,NStru,InNr,18,0,255,0,PF_NO_SWITCH_OFF,200 ms,2 Sec,200 ms,1 Sec,200 ms,10 Sec,200 ms,3 Sec,1,2,4,8,144,33,64,134,0,128,2,0,10,128,33,0,134,0,1,2,4,8,16,32,67,128,12,1,0,5,0,20,0,67,0,12)</v>
      </c>
      <c r="F34" s="2"/>
      <c r="G34" s="2"/>
      <c r="H34" s="2"/>
      <c r="I34" s="2"/>
      <c r="J34" s="2"/>
      <c r="X34" s="2"/>
      <c r="Y34" s="14"/>
      <c r="Z34" s="2"/>
      <c r="AA34" s="2"/>
      <c r="AB34" s="2"/>
    </row>
    <row r="35" spans="2:193" hidden="1" x14ac:dyDescent="0.3">
      <c r="D35" s="17" t="s">
        <v>21</v>
      </c>
      <c r="E35" s="18">
        <v>11</v>
      </c>
      <c r="G35" s="17" t="s">
        <v>20</v>
      </c>
      <c r="H35" s="18">
        <f>2*(32-COUNTIF(E22:AJ22,""))</f>
        <v>16</v>
      </c>
      <c r="J35" s="17" t="s">
        <v>19</v>
      </c>
      <c r="K35" s="18">
        <f>LEN(Pattern_Bytes)-LEN(SUBSTITUTE(Pattern_Bytes,",",))</f>
        <v>36</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63</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t="s">
        <v>0</v>
      </c>
      <c r="F40" s="36" t="s">
        <v>0</v>
      </c>
      <c r="G40" s="36" t="s">
        <v>0</v>
      </c>
      <c r="H40" s="36" t="s">
        <v>0</v>
      </c>
      <c r="I40" s="36"/>
      <c r="J40" s="36"/>
      <c r="K40" s="36"/>
      <c r="L40" s="36"/>
      <c r="M40" s="36" t="s">
        <v>0</v>
      </c>
      <c r="N40" s="36" t="s">
        <v>0</v>
      </c>
      <c r="O40" s="36" t="s">
        <v>0</v>
      </c>
      <c r="P40" s="36" t="s">
        <v>0</v>
      </c>
      <c r="Q40" s="36" t="s">
        <v>0</v>
      </c>
      <c r="R40" s="36" t="s">
        <v>0</v>
      </c>
      <c r="S40" s="36" t="s">
        <v>0</v>
      </c>
      <c r="T40" s="36" t="s">
        <v>0</v>
      </c>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45"/>
      <c r="L41" s="45"/>
      <c r="M41" s="45"/>
      <c r="N41" s="45"/>
      <c r="O41" s="45"/>
      <c r="P41" s="45"/>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3">C41*2</f>
        <v>4</v>
      </c>
      <c r="D42" s="32"/>
      <c r="E42" s="45"/>
      <c r="F42" s="45"/>
      <c r="G42" s="45"/>
      <c r="H42" s="45"/>
      <c r="I42" s="45"/>
      <c r="J42" s="45"/>
      <c r="K42" s="45"/>
      <c r="L42" s="45"/>
      <c r="M42" s="45"/>
      <c r="N42" s="45"/>
      <c r="O42" s="45"/>
      <c r="P42" s="45"/>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3"/>
        <v>8</v>
      </c>
      <c r="D43" s="33" t="s">
        <v>2</v>
      </c>
      <c r="E43" s="36"/>
      <c r="F43" s="36"/>
      <c r="G43" s="36" t="s">
        <v>0</v>
      </c>
      <c r="H43" s="36" t="s">
        <v>0</v>
      </c>
      <c r="I43" s="36"/>
      <c r="J43" s="36"/>
      <c r="K43" s="36" t="s">
        <v>0</v>
      </c>
      <c r="L43" s="36" t="s">
        <v>0</v>
      </c>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3"/>
        <v>16</v>
      </c>
      <c r="D44" s="33" t="s">
        <v>2</v>
      </c>
      <c r="E44" s="37"/>
      <c r="F44" s="37"/>
      <c r="G44" s="37" t="s">
        <v>0</v>
      </c>
      <c r="H44" s="37" t="s">
        <v>0</v>
      </c>
      <c r="I44" s="37"/>
      <c r="J44" s="37"/>
      <c r="K44" s="37" t="s">
        <v>0</v>
      </c>
      <c r="L44" s="37" t="s">
        <v>0</v>
      </c>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3"/>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3"/>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3"/>
        <v>128</v>
      </c>
      <c r="D47" s="34" t="s">
        <v>3</v>
      </c>
      <c r="E47" s="37"/>
      <c r="F47" s="37"/>
      <c r="G47" s="37"/>
      <c r="H47" s="37"/>
      <c r="I47" s="37" t="s">
        <v>0</v>
      </c>
      <c r="J47" s="37" t="s">
        <v>0</v>
      </c>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3"/>
        <v>256</v>
      </c>
      <c r="D48" s="34"/>
      <c r="E48" s="39"/>
      <c r="F48" s="39"/>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3"/>
        <v>512</v>
      </c>
      <c r="D49" s="32" t="s">
        <v>4</v>
      </c>
      <c r="E49" s="47" t="s">
        <v>0</v>
      </c>
      <c r="F49" s="36" t="s">
        <v>0</v>
      </c>
      <c r="G49" s="36" t="s">
        <v>0</v>
      </c>
      <c r="H49" s="36" t="s">
        <v>0</v>
      </c>
      <c r="I49" s="36" t="s">
        <v>0</v>
      </c>
      <c r="J49" s="36" t="s">
        <v>0</v>
      </c>
      <c r="K49" s="36" t="s">
        <v>0</v>
      </c>
      <c r="L49" s="36" t="s">
        <v>0</v>
      </c>
      <c r="M49" s="36" t="s">
        <v>0</v>
      </c>
      <c r="N49" s="36" t="s">
        <v>0</v>
      </c>
      <c r="O49" s="36" t="s">
        <v>0</v>
      </c>
      <c r="P49" s="36" t="s">
        <v>0</v>
      </c>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3"/>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3"/>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3"/>
        <v>4096</v>
      </c>
      <c r="D52" s="33" t="s">
        <v>5</v>
      </c>
      <c r="E52" s="30"/>
      <c r="F52" s="30"/>
      <c r="G52" s="30"/>
      <c r="H52" s="30"/>
      <c r="I52" s="30"/>
      <c r="J52" s="30"/>
      <c r="K52" s="30"/>
      <c r="L52" s="30"/>
      <c r="M52" s="30"/>
      <c r="N52" s="30"/>
      <c r="O52" s="30" t="s">
        <v>0</v>
      </c>
      <c r="P52" s="30" t="s">
        <v>0</v>
      </c>
      <c r="Q52" s="30"/>
      <c r="R52" s="30"/>
      <c r="S52" s="30" t="s">
        <v>0</v>
      </c>
      <c r="T52" s="30" t="s">
        <v>0</v>
      </c>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3"/>
        <v>8192</v>
      </c>
      <c r="D53" s="33" t="s">
        <v>5</v>
      </c>
      <c r="E53" s="37"/>
      <c r="F53" s="37"/>
      <c r="G53" s="37"/>
      <c r="H53" s="37"/>
      <c r="I53" s="37"/>
      <c r="J53" s="37"/>
      <c r="K53" s="37"/>
      <c r="L53" s="37"/>
      <c r="M53" s="37"/>
      <c r="N53" s="37"/>
      <c r="O53" s="37" t="s">
        <v>0</v>
      </c>
      <c r="P53" s="37" t="s">
        <v>0</v>
      </c>
      <c r="Q53" s="37"/>
      <c r="R53" s="37"/>
      <c r="S53" s="37" t="s">
        <v>0</v>
      </c>
      <c r="T53" s="37" t="s">
        <v>0</v>
      </c>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3"/>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3"/>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3"/>
        <v>65536</v>
      </c>
      <c r="D56" s="34" t="s">
        <v>6</v>
      </c>
      <c r="E56" s="30"/>
      <c r="F56" s="30"/>
      <c r="G56" s="30"/>
      <c r="H56" s="30"/>
      <c r="I56" s="30"/>
      <c r="J56" s="30"/>
      <c r="K56" s="30"/>
      <c r="L56" s="30"/>
      <c r="M56" s="30"/>
      <c r="N56" s="30"/>
      <c r="O56" s="30"/>
      <c r="P56" s="30"/>
      <c r="Q56" s="30" t="s">
        <v>0</v>
      </c>
      <c r="R56" s="30" t="s">
        <v>0</v>
      </c>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3"/>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3"/>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3"/>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3"/>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3"/>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3"/>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3"/>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3"/>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3"/>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3"/>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3"/>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3"/>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3"/>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3"/>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3"/>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3"/>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3"/>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3"/>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3"/>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3"/>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3"/>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3"/>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3"/>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E2:F2"/>
    <mergeCell ref="E3:F3"/>
    <mergeCell ref="E4:F4"/>
    <mergeCell ref="E5:F5"/>
    <mergeCell ref="E6:F6"/>
    <mergeCell ref="I73:J73"/>
    <mergeCell ref="E8:F8"/>
    <mergeCell ref="E9:F9"/>
    <mergeCell ref="E10:F10"/>
    <mergeCell ref="E11:F11"/>
    <mergeCell ref="E15:F15"/>
  </mergeCells>
  <conditionalFormatting sqref="B40:B149">
    <cfRule type="expression" dxfId="333" priority="127">
      <formula>$E$5&gt;=ROW(B40)-ROW($B$39)</formula>
    </cfRule>
  </conditionalFormatting>
  <conditionalFormatting sqref="B58:BH72 B40:C57 M40:BH57 B74:BH149 B73:I73 K73:BH73">
    <cfRule type="expression" dxfId="332" priority="126">
      <formula>$E$5&gt;=ROW(B40)-ROW($B$39)</formula>
    </cfRule>
  </conditionalFormatting>
  <conditionalFormatting sqref="D40">
    <cfRule type="expression" dxfId="331" priority="125">
      <formula>$E$5&gt;=1</formula>
    </cfRule>
  </conditionalFormatting>
  <conditionalFormatting sqref="D41">
    <cfRule type="expression" dxfId="330" priority="124">
      <formula>$E$5&gt;=2</formula>
    </cfRule>
  </conditionalFormatting>
  <conditionalFormatting sqref="D42">
    <cfRule type="expression" dxfId="329" priority="123">
      <formula>$E$5&gt;=3</formula>
    </cfRule>
  </conditionalFormatting>
  <conditionalFormatting sqref="D43">
    <cfRule type="expression" dxfId="328" priority="122">
      <formula>$E$5&gt;=4</formula>
    </cfRule>
  </conditionalFormatting>
  <conditionalFormatting sqref="D44">
    <cfRule type="expression" dxfId="327" priority="121">
      <formula>$E$5&gt;=5</formula>
    </cfRule>
  </conditionalFormatting>
  <conditionalFormatting sqref="D45">
    <cfRule type="expression" dxfId="326" priority="120">
      <formula>$E$5&gt;=6</formula>
    </cfRule>
  </conditionalFormatting>
  <conditionalFormatting sqref="D46">
    <cfRule type="expression" dxfId="325" priority="119">
      <formula>$E$5&gt;=7</formula>
    </cfRule>
  </conditionalFormatting>
  <conditionalFormatting sqref="D47">
    <cfRule type="expression" dxfId="324" priority="118">
      <formula>$E$5&gt;=8</formula>
    </cfRule>
  </conditionalFormatting>
  <conditionalFormatting sqref="D48">
    <cfRule type="expression" dxfId="323" priority="117">
      <formula>$E$5&gt;=9</formula>
    </cfRule>
  </conditionalFormatting>
  <conditionalFormatting sqref="D49">
    <cfRule type="expression" dxfId="322" priority="116">
      <formula>$E$5&gt;=10</formula>
    </cfRule>
  </conditionalFormatting>
  <conditionalFormatting sqref="D50">
    <cfRule type="expression" dxfId="321" priority="115">
      <formula>$E$5&gt;=11</formula>
    </cfRule>
  </conditionalFormatting>
  <conditionalFormatting sqref="D51">
    <cfRule type="expression" dxfId="320" priority="114">
      <formula>$E$5&gt;=12</formula>
    </cfRule>
  </conditionalFormatting>
  <conditionalFormatting sqref="D52">
    <cfRule type="expression" dxfId="319" priority="113">
      <formula>$E$5&gt;=13</formula>
    </cfRule>
  </conditionalFormatting>
  <conditionalFormatting sqref="D53">
    <cfRule type="expression" dxfId="318" priority="112">
      <formula>$E$5&gt;=14</formula>
    </cfRule>
  </conditionalFormatting>
  <conditionalFormatting sqref="D54">
    <cfRule type="expression" dxfId="317" priority="111">
      <formula>$E$5&gt;=15</formula>
    </cfRule>
  </conditionalFormatting>
  <conditionalFormatting sqref="D55">
    <cfRule type="expression" dxfId="316" priority="110">
      <formula>$E$5&gt;=16</formula>
    </cfRule>
  </conditionalFormatting>
  <conditionalFormatting sqref="D56">
    <cfRule type="expression" dxfId="315" priority="109">
      <formula>$E$5&gt;=17</formula>
    </cfRule>
  </conditionalFormatting>
  <conditionalFormatting sqref="D57">
    <cfRule type="expression" dxfId="314" priority="108">
      <formula>$E$5&gt;=18</formula>
    </cfRule>
  </conditionalFormatting>
  <conditionalFormatting sqref="E40:S40">
    <cfRule type="expression" dxfId="313" priority="107">
      <formula>$E$5&gt;=1</formula>
    </cfRule>
  </conditionalFormatting>
  <conditionalFormatting sqref="E41:S41">
    <cfRule type="expression" dxfId="312" priority="106">
      <formula>$E$5&gt;=2</formula>
    </cfRule>
  </conditionalFormatting>
  <conditionalFormatting sqref="E42:S42">
    <cfRule type="expression" dxfId="311" priority="105">
      <formula>$E$5&gt;=3</formula>
    </cfRule>
  </conditionalFormatting>
  <conditionalFormatting sqref="E43">
    <cfRule type="expression" dxfId="310" priority="104">
      <formula>$E$5&gt;=4</formula>
    </cfRule>
  </conditionalFormatting>
  <conditionalFormatting sqref="E44:S44">
    <cfRule type="expression" dxfId="309" priority="103">
      <formula>$E$5&gt;=5</formula>
    </cfRule>
  </conditionalFormatting>
  <conditionalFormatting sqref="E45:S45">
    <cfRule type="expression" dxfId="308" priority="102">
      <formula>$E$5&gt;=6</formula>
    </cfRule>
  </conditionalFormatting>
  <conditionalFormatting sqref="E46:S46">
    <cfRule type="expression" dxfId="307" priority="101">
      <formula>$E$5&gt;=7</formula>
    </cfRule>
  </conditionalFormatting>
  <conditionalFormatting sqref="E47:S47">
    <cfRule type="expression" dxfId="306" priority="100">
      <formula>$E$5&gt;=8</formula>
    </cfRule>
  </conditionalFormatting>
  <conditionalFormatting sqref="E48:S48">
    <cfRule type="expression" dxfId="305" priority="99">
      <formula>$E$5&gt;=9</formula>
    </cfRule>
  </conditionalFormatting>
  <conditionalFormatting sqref="E49:S49">
    <cfRule type="expression" dxfId="304" priority="98">
      <formula>$E$5&gt;=10</formula>
    </cfRule>
  </conditionalFormatting>
  <conditionalFormatting sqref="E50:S50">
    <cfRule type="expression" dxfId="303" priority="97">
      <formula>$E$5&gt;=11</formula>
    </cfRule>
  </conditionalFormatting>
  <conditionalFormatting sqref="E51:S51">
    <cfRule type="expression" dxfId="302" priority="96">
      <formula>$E$5&gt;=12</formula>
    </cfRule>
  </conditionalFormatting>
  <conditionalFormatting sqref="E52:S52">
    <cfRule type="expression" dxfId="301" priority="95">
      <formula>$E$5&gt;=13</formula>
    </cfRule>
  </conditionalFormatting>
  <conditionalFormatting sqref="E53:S53">
    <cfRule type="expression" dxfId="300" priority="94">
      <formula>$E$5&gt;=14</formula>
    </cfRule>
  </conditionalFormatting>
  <conditionalFormatting sqref="E54:S54">
    <cfRule type="expression" dxfId="299" priority="93">
      <formula>$E$5&gt;=15</formula>
    </cfRule>
  </conditionalFormatting>
  <conditionalFormatting sqref="E55:S55">
    <cfRule type="expression" dxfId="298" priority="92">
      <formula>$E$5&gt;=16</formula>
    </cfRule>
  </conditionalFormatting>
  <conditionalFormatting sqref="E56:S56">
    <cfRule type="expression" dxfId="297" priority="91">
      <formula>$E$5&gt;=17</formula>
    </cfRule>
  </conditionalFormatting>
  <conditionalFormatting sqref="E57:S57">
    <cfRule type="expression" dxfId="296" priority="90">
      <formula>$E$5&gt;=18</formula>
    </cfRule>
  </conditionalFormatting>
  <conditionalFormatting sqref="F44">
    <cfRule type="expression" dxfId="295" priority="89">
      <formula>$E$5&gt;=5</formula>
    </cfRule>
  </conditionalFormatting>
  <conditionalFormatting sqref="F45">
    <cfRule type="expression" dxfId="294" priority="88">
      <formula>$E$5&gt;=6</formula>
    </cfRule>
  </conditionalFormatting>
  <conditionalFormatting sqref="F46">
    <cfRule type="expression" dxfId="293" priority="87">
      <formula>$E$5&gt;=7</formula>
    </cfRule>
  </conditionalFormatting>
  <conditionalFormatting sqref="F47">
    <cfRule type="expression" dxfId="292" priority="86">
      <formula>$E$5&gt;=8</formula>
    </cfRule>
  </conditionalFormatting>
  <conditionalFormatting sqref="F48">
    <cfRule type="expression" dxfId="291" priority="85">
      <formula>$E$5&gt;=9</formula>
    </cfRule>
  </conditionalFormatting>
  <conditionalFormatting sqref="F49">
    <cfRule type="expression" dxfId="290" priority="84">
      <formula>$E$5&gt;=10</formula>
    </cfRule>
  </conditionalFormatting>
  <conditionalFormatting sqref="F50">
    <cfRule type="expression" dxfId="289" priority="83">
      <formula>$E$5&gt;=11</formula>
    </cfRule>
  </conditionalFormatting>
  <conditionalFormatting sqref="F51">
    <cfRule type="expression" dxfId="288" priority="82">
      <formula>$E$5&gt;=12</formula>
    </cfRule>
  </conditionalFormatting>
  <conditionalFormatting sqref="H46:O46">
    <cfRule type="expression" dxfId="287" priority="81">
      <formula>$E$5&gt;=7</formula>
    </cfRule>
  </conditionalFormatting>
  <conditionalFormatting sqref="H47:O47">
    <cfRule type="expression" dxfId="286" priority="80">
      <formula>$E$5&gt;=8</formula>
    </cfRule>
  </conditionalFormatting>
  <conditionalFormatting sqref="H48:O48">
    <cfRule type="expression" dxfId="285" priority="79">
      <formula>$E$5&gt;=9</formula>
    </cfRule>
  </conditionalFormatting>
  <conditionalFormatting sqref="H49:O49">
    <cfRule type="expression" dxfId="284" priority="78">
      <formula>$E$5&gt;=10</formula>
    </cfRule>
  </conditionalFormatting>
  <conditionalFormatting sqref="H50:O50">
    <cfRule type="expression" dxfId="283" priority="77">
      <formula>$E$5&gt;=11</formula>
    </cfRule>
  </conditionalFormatting>
  <conditionalFormatting sqref="H51:O51">
    <cfRule type="expression" dxfId="282" priority="76">
      <formula>$E$5&gt;=12</formula>
    </cfRule>
  </conditionalFormatting>
  <conditionalFormatting sqref="F43:S43">
    <cfRule type="expression" dxfId="281" priority="75">
      <formula>$E$5&gt;=4</formula>
    </cfRule>
  </conditionalFormatting>
  <conditionalFormatting sqref="E21:K21">
    <cfRule type="expression" dxfId="280" priority="74">
      <formula>_xlfn.ISFORMULA(E21)</formula>
    </cfRule>
  </conditionalFormatting>
  <conditionalFormatting sqref="E21:X21">
    <cfRule type="expression" dxfId="279" priority="73">
      <formula>_xlfn.ISFORMULA(E21)</formula>
    </cfRule>
  </conditionalFormatting>
  <conditionalFormatting sqref="F43">
    <cfRule type="expression" dxfId="278" priority="72">
      <formula>$E$5&gt;=4</formula>
    </cfRule>
  </conditionalFormatting>
  <conditionalFormatting sqref="G44">
    <cfRule type="expression" dxfId="277" priority="71">
      <formula>$E$5&gt;=5</formula>
    </cfRule>
  </conditionalFormatting>
  <conditionalFormatting sqref="G45">
    <cfRule type="expression" dxfId="276" priority="70">
      <formula>$E$5&gt;=6</formula>
    </cfRule>
  </conditionalFormatting>
  <conditionalFormatting sqref="G46">
    <cfRule type="expression" dxfId="275" priority="69">
      <formula>$E$5&gt;=7</formula>
    </cfRule>
  </conditionalFormatting>
  <conditionalFormatting sqref="G47">
    <cfRule type="expression" dxfId="274" priority="68">
      <formula>$E$5&gt;=8</formula>
    </cfRule>
  </conditionalFormatting>
  <conditionalFormatting sqref="G48">
    <cfRule type="expression" dxfId="273" priority="67">
      <formula>$E$5&gt;=9</formula>
    </cfRule>
  </conditionalFormatting>
  <conditionalFormatting sqref="G49">
    <cfRule type="expression" dxfId="272" priority="66">
      <formula>$E$5&gt;=10</formula>
    </cfRule>
  </conditionalFormatting>
  <conditionalFormatting sqref="G50">
    <cfRule type="expression" dxfId="271" priority="65">
      <formula>$E$5&gt;=11</formula>
    </cfRule>
  </conditionalFormatting>
  <conditionalFormatting sqref="G51">
    <cfRule type="expression" dxfId="270" priority="64">
      <formula>$E$5&gt;=12</formula>
    </cfRule>
  </conditionalFormatting>
  <conditionalFormatting sqref="H44">
    <cfRule type="expression" dxfId="269" priority="63">
      <formula>$E$5&gt;=5</formula>
    </cfRule>
  </conditionalFormatting>
  <conditionalFormatting sqref="H45">
    <cfRule type="expression" dxfId="268" priority="62">
      <formula>$E$5&gt;=6</formula>
    </cfRule>
  </conditionalFormatting>
  <conditionalFormatting sqref="H46">
    <cfRule type="expression" dxfId="267" priority="61">
      <formula>$E$5&gt;=7</formula>
    </cfRule>
  </conditionalFormatting>
  <conditionalFormatting sqref="H47">
    <cfRule type="expression" dxfId="266" priority="60">
      <formula>$E$5&gt;=8</formula>
    </cfRule>
  </conditionalFormatting>
  <conditionalFormatting sqref="H48">
    <cfRule type="expression" dxfId="265" priority="59">
      <formula>$E$5&gt;=9</formula>
    </cfRule>
  </conditionalFormatting>
  <conditionalFormatting sqref="H49">
    <cfRule type="expression" dxfId="264" priority="58">
      <formula>$E$5&gt;=10</formula>
    </cfRule>
  </conditionalFormatting>
  <conditionalFormatting sqref="H50">
    <cfRule type="expression" dxfId="263" priority="57">
      <formula>$E$5&gt;=11</formula>
    </cfRule>
  </conditionalFormatting>
  <conditionalFormatting sqref="H51">
    <cfRule type="expression" dxfId="262" priority="56">
      <formula>$E$5&gt;=12</formula>
    </cfRule>
  </conditionalFormatting>
  <conditionalFormatting sqref="O46">
    <cfRule type="expression" dxfId="261" priority="55">
      <formula>$E$5&gt;=7</formula>
    </cfRule>
  </conditionalFormatting>
  <conditionalFormatting sqref="O47">
    <cfRule type="expression" dxfId="260" priority="54">
      <formula>$E$5&gt;=8</formula>
    </cfRule>
  </conditionalFormatting>
  <conditionalFormatting sqref="O48">
    <cfRule type="expression" dxfId="259" priority="53">
      <formula>$E$5&gt;=9</formula>
    </cfRule>
  </conditionalFormatting>
  <conditionalFormatting sqref="O49">
    <cfRule type="expression" dxfId="258" priority="52">
      <formula>$E$5&gt;=10</formula>
    </cfRule>
  </conditionalFormatting>
  <conditionalFormatting sqref="O50">
    <cfRule type="expression" dxfId="257" priority="51">
      <formula>$E$5&gt;=11</formula>
    </cfRule>
  </conditionalFormatting>
  <conditionalFormatting sqref="O51">
    <cfRule type="expression" dxfId="256" priority="50">
      <formula>$E$5&gt;=12</formula>
    </cfRule>
  </conditionalFormatting>
  <conditionalFormatting sqref="S40">
    <cfRule type="expression" dxfId="255" priority="49">
      <formula>$E$5&gt;=1</formula>
    </cfRule>
  </conditionalFormatting>
  <conditionalFormatting sqref="S41">
    <cfRule type="expression" dxfId="254" priority="48">
      <formula>$E$5&gt;=2</formula>
    </cfRule>
  </conditionalFormatting>
  <conditionalFormatting sqref="S42">
    <cfRule type="expression" dxfId="253" priority="47">
      <formula>$E$5&gt;=3</formula>
    </cfRule>
  </conditionalFormatting>
  <conditionalFormatting sqref="S44">
    <cfRule type="expression" dxfId="252" priority="46">
      <formula>$E$5&gt;=5</formula>
    </cfRule>
  </conditionalFormatting>
  <conditionalFormatting sqref="S45">
    <cfRule type="expression" dxfId="251" priority="45">
      <formula>$E$5&gt;=6</formula>
    </cfRule>
  </conditionalFormatting>
  <conditionalFormatting sqref="S46">
    <cfRule type="expression" dxfId="250" priority="44">
      <formula>$E$5&gt;=7</formula>
    </cfRule>
  </conditionalFormatting>
  <conditionalFormatting sqref="S47">
    <cfRule type="expression" dxfId="249" priority="43">
      <formula>$E$5&gt;=8</formula>
    </cfRule>
  </conditionalFormatting>
  <conditionalFormatting sqref="S48">
    <cfRule type="expression" dxfId="248" priority="42">
      <formula>$E$5&gt;=9</formula>
    </cfRule>
  </conditionalFormatting>
  <conditionalFormatting sqref="S49">
    <cfRule type="expression" dxfId="247" priority="41">
      <formula>$E$5&gt;=10</formula>
    </cfRule>
  </conditionalFormatting>
  <conditionalFormatting sqref="S50">
    <cfRule type="expression" dxfId="246" priority="40">
      <formula>$E$5&gt;=11</formula>
    </cfRule>
  </conditionalFormatting>
  <conditionalFormatting sqref="S51">
    <cfRule type="expression" dxfId="245" priority="39">
      <formula>$E$5&gt;=12</formula>
    </cfRule>
  </conditionalFormatting>
  <conditionalFormatting sqref="S52">
    <cfRule type="expression" dxfId="244" priority="38">
      <formula>$E$5&gt;=13</formula>
    </cfRule>
  </conditionalFormatting>
  <conditionalFormatting sqref="S53">
    <cfRule type="expression" dxfId="243" priority="37">
      <formula>$E$5&gt;=14</formula>
    </cfRule>
  </conditionalFormatting>
  <conditionalFormatting sqref="S54">
    <cfRule type="expression" dxfId="242" priority="36">
      <formula>$E$5&gt;=15</formula>
    </cfRule>
  </conditionalFormatting>
  <conditionalFormatting sqref="S55">
    <cfRule type="expression" dxfId="241" priority="35">
      <formula>$E$5&gt;=16</formula>
    </cfRule>
  </conditionalFormatting>
  <conditionalFormatting sqref="S56">
    <cfRule type="expression" dxfId="240" priority="34">
      <formula>$E$5&gt;=17</formula>
    </cfRule>
  </conditionalFormatting>
  <conditionalFormatting sqref="S57">
    <cfRule type="expression" dxfId="239" priority="33">
      <formula>$E$5&gt;=18</formula>
    </cfRule>
  </conditionalFormatting>
  <conditionalFormatting sqref="S43">
    <cfRule type="expression" dxfId="238" priority="32">
      <formula>$E$5&gt;=4</formula>
    </cfRule>
  </conditionalFormatting>
  <conditionalFormatting sqref="P46">
    <cfRule type="expression" dxfId="237" priority="31">
      <formula>$E$5&gt;=7</formula>
    </cfRule>
  </conditionalFormatting>
  <conditionalFormatting sqref="P47">
    <cfRule type="expression" dxfId="236" priority="30">
      <formula>$E$5&gt;=8</formula>
    </cfRule>
  </conditionalFormatting>
  <conditionalFormatting sqref="P48">
    <cfRule type="expression" dxfId="235" priority="29">
      <formula>$E$5&gt;=9</formula>
    </cfRule>
  </conditionalFormatting>
  <conditionalFormatting sqref="P49">
    <cfRule type="expression" dxfId="234" priority="28">
      <formula>$E$5&gt;=10</formula>
    </cfRule>
  </conditionalFormatting>
  <conditionalFormatting sqref="P50">
    <cfRule type="expression" dxfId="233" priority="27">
      <formula>$E$5&gt;=11</formula>
    </cfRule>
  </conditionalFormatting>
  <conditionalFormatting sqref="P51">
    <cfRule type="expression" dxfId="232" priority="26">
      <formula>$E$5&gt;=12</formula>
    </cfRule>
  </conditionalFormatting>
  <conditionalFormatting sqref="T40">
    <cfRule type="expression" dxfId="231" priority="25">
      <formula>$E$5&gt;=1</formula>
    </cfRule>
  </conditionalFormatting>
  <conditionalFormatting sqref="T41">
    <cfRule type="expression" dxfId="230" priority="24">
      <formula>$E$5&gt;=2</formula>
    </cfRule>
  </conditionalFormatting>
  <conditionalFormatting sqref="T42">
    <cfRule type="expression" dxfId="229" priority="23">
      <formula>$E$5&gt;=3</formula>
    </cfRule>
  </conditionalFormatting>
  <conditionalFormatting sqref="T44">
    <cfRule type="expression" dxfId="228" priority="22">
      <formula>$E$5&gt;=5</formula>
    </cfRule>
  </conditionalFormatting>
  <conditionalFormatting sqref="T45">
    <cfRule type="expression" dxfId="227" priority="21">
      <formula>$E$5&gt;=6</formula>
    </cfRule>
  </conditionalFormatting>
  <conditionalFormatting sqref="T46">
    <cfRule type="expression" dxfId="226" priority="20">
      <formula>$E$5&gt;=7</formula>
    </cfRule>
  </conditionalFormatting>
  <conditionalFormatting sqref="T47">
    <cfRule type="expression" dxfId="225" priority="19">
      <formula>$E$5&gt;=8</formula>
    </cfRule>
  </conditionalFormatting>
  <conditionalFormatting sqref="T48">
    <cfRule type="expression" dxfId="224" priority="18">
      <formula>$E$5&gt;=9</formula>
    </cfRule>
  </conditionalFormatting>
  <conditionalFormatting sqref="T49">
    <cfRule type="expression" dxfId="223" priority="17">
      <formula>$E$5&gt;=10</formula>
    </cfRule>
  </conditionalFormatting>
  <conditionalFormatting sqref="T50">
    <cfRule type="expression" dxfId="222" priority="16">
      <formula>$E$5&gt;=11</formula>
    </cfRule>
  </conditionalFormatting>
  <conditionalFormatting sqref="T51">
    <cfRule type="expression" dxfId="221" priority="15">
      <formula>$E$5&gt;=12</formula>
    </cfRule>
  </conditionalFormatting>
  <conditionalFormatting sqref="T52">
    <cfRule type="expression" dxfId="220" priority="14">
      <formula>$E$5&gt;=13</formula>
    </cfRule>
  </conditionalFormatting>
  <conditionalFormatting sqref="T53">
    <cfRule type="expression" dxfId="219" priority="13">
      <formula>$E$5&gt;=14</formula>
    </cfRule>
  </conditionalFormatting>
  <conditionalFormatting sqref="T54">
    <cfRule type="expression" dxfId="218" priority="12">
      <formula>$E$5&gt;=15</formula>
    </cfRule>
  </conditionalFormatting>
  <conditionalFormatting sqref="T55">
    <cfRule type="expression" dxfId="217" priority="11">
      <formula>$E$5&gt;=16</formula>
    </cfRule>
  </conditionalFormatting>
  <conditionalFormatting sqref="T56">
    <cfRule type="expression" dxfId="216" priority="10">
      <formula>$E$5&gt;=17</formula>
    </cfRule>
  </conditionalFormatting>
  <conditionalFormatting sqref="T57">
    <cfRule type="expression" dxfId="215" priority="9">
      <formula>$E$5&gt;=18</formula>
    </cfRule>
  </conditionalFormatting>
  <conditionalFormatting sqref="T43">
    <cfRule type="expression" dxfId="214" priority="8">
      <formula>$E$5&gt;=4</formula>
    </cfRule>
  </conditionalFormatting>
  <conditionalFormatting sqref="L21">
    <cfRule type="expression" dxfId="213" priority="7">
      <formula>_xlfn.ISFORMULA(L21)</formula>
    </cfRule>
  </conditionalFormatting>
  <conditionalFormatting sqref="E37:F37">
    <cfRule type="expression" dxfId="212" priority="1">
      <formula>$E$37&gt;2000</formula>
    </cfRule>
    <cfRule type="expression" dxfId="211" priority="2">
      <formula>$E$37&gt;2000</formula>
    </cfRule>
    <cfRule type="expression" dxfId="210" priority="3">
      <formula>$E$37&gt;2000</formula>
    </cfRule>
    <cfRule type="expression" dxfId="209" priority="4">
      <formula>$E$37&gt;2000</formula>
    </cfRule>
    <cfRule type="expression" dxfId="208" priority="5">
      <formula>$E$37&gt;2000</formula>
    </cfRule>
    <cfRule type="expression" dxfId="207" priority="6">
      <formula>$E$37&gt;2000</formula>
    </cfRule>
  </conditionalFormatting>
  <dataValidations count="8">
    <dataValidation type="decimal" allowBlank="1" showErrorMessage="1" errorTitle="Falscher Wert" error="&quot;Bits pro Wert&quot; muss zwischen 1 und 8 liegen" sqref="E6:F6" xr:uid="{00000000-0002-0000-0B00-000000000000}">
      <formula1>1</formula1>
      <formula2>8</formula2>
    </dataValidation>
    <dataValidation type="whole" allowBlank="1" showInputMessage="1" showErrorMessage="1" errorTitle="Falscher Wert" error="&quot;Wert Min&quot; muss zwischen 0 und 255 liegen" sqref="E7:F7" xr:uid="{00000000-0002-0000-0B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B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B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B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B00-000005000000}">
      <formula1>0</formula1>
      <formula2>255</formula2>
    </dataValidation>
    <dataValidation type="whole" allowBlank="1" showInputMessage="1" showErrorMessage="1" errorTitle="Falscher Wert" error="&quot;Wert Max&quot; mus zwischen 0 und 255 liegen" sqref="E8:F8" xr:uid="{00000000-0002-0000-0B00-000006000000}">
      <formula1>0</formula1>
      <formula2>255</formula2>
    </dataValidation>
    <dataValidation type="whole" allowBlank="1" showInputMessage="1" showErrorMessage="1" errorTitle="Falscher Wert" error="Die Anzahl der Ausgabekanäle muss zwischen 1 und 765 liegen" sqref="E5:F5" xr:uid="{00000000-0002-0000-0B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0"/>
  <dimension ref="B1:GM139"/>
  <sheetViews>
    <sheetView showGridLines="0" zoomScaleNormal="10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18</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58</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APatternT4(0,0,SI_1,18,0,255,0,PF_INVERT_INP | PF_NO_SWITCH_OFF,100 ms,300 ms,100 ms,500 ms,24,48,96,192,0,0,0,0,0)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61</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RGB_AmpelX_Fade_Off(LED,InNr)                       APatternT4(LED,0,InNr,18,0,255,0,PF_INVERT_INP | PF_NO_SWITCH_OFF,100 ms,300 ms,100 ms,500 ms,24,48,96,192,0,0,0,0,0)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RGB_AmpelX_Fade_Off_StCh(LED,StCh,InNr)     APatternT4(LED,StCh+0,InNr,18,0,255,0,PF_INVERT_INP | PF_NO_SWITCH_OFF,100 ms,300 ms,100 ms,500 ms,24,48,96,192,0,0,0,0,0)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64</v>
      </c>
      <c r="F21" s="25" t="s">
        <v>65</v>
      </c>
      <c r="G21" s="26" t="s">
        <v>64</v>
      </c>
      <c r="H21" s="26" t="s">
        <v>27</v>
      </c>
      <c r="I21" s="26"/>
      <c r="J21" s="26"/>
      <c r="K21" s="26"/>
      <c r="L21" s="26"/>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100 ms</v>
      </c>
      <c r="F22" s="13" t="str">
        <f t="shared" ref="F22:AJ22" si="0">IF(AND(_xlfn.ISFORMULA(F21),G22=""),"",IF(F21&lt;&gt;"",F21,""))</f>
        <v>300 ms</v>
      </c>
      <c r="G22" s="13" t="str">
        <f t="shared" si="0"/>
        <v>100 ms</v>
      </c>
      <c r="H22" s="13" t="str">
        <f t="shared" si="0"/>
        <v>500 ms</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,100 ms</v>
      </c>
      <c r="F23" s="2" t="str">
        <f t="shared" ref="F23:AJ23" si="1">IF(OR(F22&lt;&gt;"",G23&lt;&gt;""),CONCATENATE(",",IF(F22="","!",F22)),"")</f>
        <v>,300 ms</v>
      </c>
      <c r="G23" s="2" t="str">
        <f t="shared" si="1"/>
        <v>,100 ms</v>
      </c>
      <c r="H23" s="2" t="str">
        <f t="shared" si="1"/>
        <v>,500 ms</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,100 ms,300 ms,100 ms,500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APatternT4(</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0:,24,48,96,192,0,0,0,0,0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,24,48,96,192,0,0,0,0,0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18,0,255,0,PF_INVERT_INP | PF_NO_SWITCH_OFF,100 ms,300 ms,100 ms,500 ms,24,48,96,192,0,0,0,0,0)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RGB_AmpelX_Fade_Off(LED,NStru,InNr)    APatternT4(LED,NStru,InNr,18,0,255,0,PF_INVERT_INP | PF_NO_SWITCH_OFF,100 ms,300 ms,100 ms,500 ms,24,48,96,192,0,0,0,0,0)</v>
      </c>
      <c r="F34" s="2"/>
      <c r="G34" s="2"/>
      <c r="H34" s="2"/>
      <c r="I34" s="2"/>
      <c r="J34" s="2"/>
      <c r="X34" s="2"/>
      <c r="Y34" s="14"/>
      <c r="Z34" s="2"/>
      <c r="AA34" s="2"/>
      <c r="AB34" s="2"/>
    </row>
    <row r="35" spans="2:193" hidden="1" x14ac:dyDescent="0.3">
      <c r="D35" s="17" t="s">
        <v>21</v>
      </c>
      <c r="E35" s="18">
        <v>11</v>
      </c>
      <c r="G35" s="17" t="s">
        <v>20</v>
      </c>
      <c r="H35" s="18">
        <f>2*(32-COUNTIF(E22:AJ22,""))</f>
        <v>8</v>
      </c>
      <c r="J35" s="17" t="s">
        <v>19</v>
      </c>
      <c r="K35" s="18">
        <f>LEN(Pattern_Bytes)-LEN(SUBSTITUTE(Pattern_Bytes,",",))</f>
        <v>9</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28</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c r="F40" s="36"/>
      <c r="G40" s="36"/>
      <c r="H40" s="36"/>
      <c r="I40" s="36"/>
      <c r="J40" s="36"/>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45"/>
      <c r="L41" s="45"/>
      <c r="M41" s="45"/>
      <c r="N41" s="45"/>
      <c r="O41" s="45"/>
      <c r="P41" s="45"/>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32"/>
      <c r="E42" s="45"/>
      <c r="F42" s="45"/>
      <c r="G42" s="45"/>
      <c r="H42" s="45"/>
      <c r="I42" s="45"/>
      <c r="J42" s="45"/>
      <c r="K42" s="45"/>
      <c r="L42" s="45"/>
      <c r="M42" s="45"/>
      <c r="N42" s="45"/>
      <c r="O42" s="45"/>
      <c r="P42" s="45"/>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3" t="s">
        <v>2</v>
      </c>
      <c r="E43" s="36" t="s">
        <v>0</v>
      </c>
      <c r="F43" s="36" t="s">
        <v>0</v>
      </c>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3" t="s">
        <v>2</v>
      </c>
      <c r="E44" s="37" t="s">
        <v>0</v>
      </c>
      <c r="F44" s="37" t="s">
        <v>0</v>
      </c>
      <c r="G44" s="37" t="s">
        <v>59</v>
      </c>
      <c r="H44" s="37" t="s">
        <v>59</v>
      </c>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4" t="s">
        <v>3</v>
      </c>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4"/>
      <c r="E48" s="39"/>
      <c r="F48" s="39"/>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2" t="s">
        <v>4</v>
      </c>
      <c r="E49" s="47"/>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3" t="s">
        <v>5</v>
      </c>
      <c r="E52" s="30" t="s">
        <v>0</v>
      </c>
      <c r="F52" s="30" t="s">
        <v>0</v>
      </c>
      <c r="G52" s="30"/>
      <c r="H52" s="30"/>
      <c r="I52" s="30"/>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3" t="s">
        <v>5</v>
      </c>
      <c r="E53" s="37" t="s">
        <v>0</v>
      </c>
      <c r="F53" s="37" t="s">
        <v>0</v>
      </c>
      <c r="G53" s="37"/>
      <c r="H53" s="37"/>
      <c r="I53" s="37"/>
      <c r="J53" s="37"/>
      <c r="K53" s="37"/>
      <c r="L53" s="37"/>
      <c r="M53" s="37"/>
      <c r="N53" s="37"/>
      <c r="O53" s="37"/>
      <c r="P53" s="37"/>
      <c r="Q53" s="37"/>
      <c r="R53" s="37"/>
      <c r="S53" s="37"/>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4" t="s">
        <v>6</v>
      </c>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206" priority="127">
      <formula>$E$5&gt;=ROW(B40)-ROW($B$39)</formula>
    </cfRule>
  </conditionalFormatting>
  <conditionalFormatting sqref="B58:BH72 B40:C57 M40:BH57 B74:BH149 B73:I73 K73:BH73">
    <cfRule type="expression" dxfId="205" priority="126">
      <formula>$E$5&gt;=ROW(B40)-ROW($B$39)</formula>
    </cfRule>
  </conditionalFormatting>
  <conditionalFormatting sqref="D40">
    <cfRule type="expression" dxfId="204" priority="125">
      <formula>$E$5&gt;=1</formula>
    </cfRule>
  </conditionalFormatting>
  <conditionalFormatting sqref="D41">
    <cfRule type="expression" dxfId="203" priority="124">
      <formula>$E$5&gt;=2</formula>
    </cfRule>
  </conditionalFormatting>
  <conditionalFormatting sqref="D42">
    <cfRule type="expression" dxfId="202" priority="123">
      <formula>$E$5&gt;=3</formula>
    </cfRule>
  </conditionalFormatting>
  <conditionalFormatting sqref="D43">
    <cfRule type="expression" dxfId="201" priority="122">
      <formula>$E$5&gt;=4</formula>
    </cfRule>
  </conditionalFormatting>
  <conditionalFormatting sqref="D44">
    <cfRule type="expression" dxfId="200" priority="121">
      <formula>$E$5&gt;=5</formula>
    </cfRule>
  </conditionalFormatting>
  <conditionalFormatting sqref="D45">
    <cfRule type="expression" dxfId="199" priority="120">
      <formula>$E$5&gt;=6</formula>
    </cfRule>
  </conditionalFormatting>
  <conditionalFormatting sqref="D46">
    <cfRule type="expression" dxfId="198" priority="119">
      <formula>$E$5&gt;=7</formula>
    </cfRule>
  </conditionalFormatting>
  <conditionalFormatting sqref="D47">
    <cfRule type="expression" dxfId="197" priority="118">
      <formula>$E$5&gt;=8</formula>
    </cfRule>
  </conditionalFormatting>
  <conditionalFormatting sqref="D48">
    <cfRule type="expression" dxfId="196" priority="117">
      <formula>$E$5&gt;=9</formula>
    </cfRule>
  </conditionalFormatting>
  <conditionalFormatting sqref="D49">
    <cfRule type="expression" dxfId="195" priority="116">
      <formula>$E$5&gt;=10</formula>
    </cfRule>
  </conditionalFormatting>
  <conditionalFormatting sqref="D50">
    <cfRule type="expression" dxfId="194" priority="115">
      <formula>$E$5&gt;=11</formula>
    </cfRule>
  </conditionalFormatting>
  <conditionalFormatting sqref="D51">
    <cfRule type="expression" dxfId="193" priority="114">
      <formula>$E$5&gt;=12</formula>
    </cfRule>
  </conditionalFormatting>
  <conditionalFormatting sqref="D52">
    <cfRule type="expression" dxfId="192" priority="113">
      <formula>$E$5&gt;=13</formula>
    </cfRule>
  </conditionalFormatting>
  <conditionalFormatting sqref="D53">
    <cfRule type="expression" dxfId="191" priority="112">
      <formula>$E$5&gt;=14</formula>
    </cfRule>
  </conditionalFormatting>
  <conditionalFormatting sqref="D54">
    <cfRule type="expression" dxfId="190" priority="111">
      <formula>$E$5&gt;=15</formula>
    </cfRule>
  </conditionalFormatting>
  <conditionalFormatting sqref="D55">
    <cfRule type="expression" dxfId="189" priority="110">
      <formula>$E$5&gt;=16</formula>
    </cfRule>
  </conditionalFormatting>
  <conditionalFormatting sqref="D56">
    <cfRule type="expression" dxfId="188" priority="109">
      <formula>$E$5&gt;=17</formula>
    </cfRule>
  </conditionalFormatting>
  <conditionalFormatting sqref="D57">
    <cfRule type="expression" dxfId="187" priority="108">
      <formula>$E$5&gt;=18</formula>
    </cfRule>
  </conditionalFormatting>
  <conditionalFormatting sqref="E40:S40">
    <cfRule type="expression" dxfId="186" priority="107">
      <formula>$E$5&gt;=1</formula>
    </cfRule>
  </conditionalFormatting>
  <conditionalFormatting sqref="E41:S41">
    <cfRule type="expression" dxfId="185" priority="106">
      <formula>$E$5&gt;=2</formula>
    </cfRule>
  </conditionalFormatting>
  <conditionalFormatting sqref="E42:S42">
    <cfRule type="expression" dxfId="184" priority="105">
      <formula>$E$5&gt;=3</formula>
    </cfRule>
  </conditionalFormatting>
  <conditionalFormatting sqref="E43">
    <cfRule type="expression" dxfId="183" priority="104">
      <formula>$E$5&gt;=4</formula>
    </cfRule>
  </conditionalFormatting>
  <conditionalFormatting sqref="E44:S44">
    <cfRule type="expression" dxfId="182" priority="103">
      <formula>$E$5&gt;=5</formula>
    </cfRule>
  </conditionalFormatting>
  <conditionalFormatting sqref="E45:S45">
    <cfRule type="expression" dxfId="181" priority="102">
      <formula>$E$5&gt;=6</formula>
    </cfRule>
  </conditionalFormatting>
  <conditionalFormatting sqref="E46:S46">
    <cfRule type="expression" dxfId="180" priority="101">
      <formula>$E$5&gt;=7</formula>
    </cfRule>
  </conditionalFormatting>
  <conditionalFormatting sqref="E47:S47">
    <cfRule type="expression" dxfId="179" priority="100">
      <formula>$E$5&gt;=8</formula>
    </cfRule>
  </conditionalFormatting>
  <conditionalFormatting sqref="E48:S48">
    <cfRule type="expression" dxfId="178" priority="99">
      <formula>$E$5&gt;=9</formula>
    </cfRule>
  </conditionalFormatting>
  <conditionalFormatting sqref="E49:S49">
    <cfRule type="expression" dxfId="177" priority="98">
      <formula>$E$5&gt;=10</formula>
    </cfRule>
  </conditionalFormatting>
  <conditionalFormatting sqref="E50:S50">
    <cfRule type="expression" dxfId="176" priority="97">
      <formula>$E$5&gt;=11</formula>
    </cfRule>
  </conditionalFormatting>
  <conditionalFormatting sqref="E51:S51">
    <cfRule type="expression" dxfId="175" priority="96">
      <formula>$E$5&gt;=12</formula>
    </cfRule>
  </conditionalFormatting>
  <conditionalFormatting sqref="E52:S52">
    <cfRule type="expression" dxfId="174" priority="95">
      <formula>$E$5&gt;=13</formula>
    </cfRule>
  </conditionalFormatting>
  <conditionalFormatting sqref="E53:S53">
    <cfRule type="expression" dxfId="173" priority="94">
      <formula>$E$5&gt;=14</formula>
    </cfRule>
  </conditionalFormatting>
  <conditionalFormatting sqref="E54:S54">
    <cfRule type="expression" dxfId="172" priority="93">
      <formula>$E$5&gt;=15</formula>
    </cfRule>
  </conditionalFormatting>
  <conditionalFormatting sqref="E55:S55">
    <cfRule type="expression" dxfId="171" priority="92">
      <formula>$E$5&gt;=16</formula>
    </cfRule>
  </conditionalFormatting>
  <conditionalFormatting sqref="E56:S56">
    <cfRule type="expression" dxfId="170" priority="91">
      <formula>$E$5&gt;=17</formula>
    </cfRule>
  </conditionalFormatting>
  <conditionalFormatting sqref="E57:S57">
    <cfRule type="expression" dxfId="169" priority="90">
      <formula>$E$5&gt;=18</formula>
    </cfRule>
  </conditionalFormatting>
  <conditionalFormatting sqref="F44">
    <cfRule type="expression" dxfId="168" priority="89">
      <formula>$E$5&gt;=5</formula>
    </cfRule>
  </conditionalFormatting>
  <conditionalFormatting sqref="F45">
    <cfRule type="expression" dxfId="167" priority="88">
      <formula>$E$5&gt;=6</formula>
    </cfRule>
  </conditionalFormatting>
  <conditionalFormatting sqref="F46">
    <cfRule type="expression" dxfId="166" priority="87">
      <formula>$E$5&gt;=7</formula>
    </cfRule>
  </conditionalFormatting>
  <conditionalFormatting sqref="F47">
    <cfRule type="expression" dxfId="165" priority="86">
      <formula>$E$5&gt;=8</formula>
    </cfRule>
  </conditionalFormatting>
  <conditionalFormatting sqref="F48">
    <cfRule type="expression" dxfId="164" priority="85">
      <formula>$E$5&gt;=9</formula>
    </cfRule>
  </conditionalFormatting>
  <conditionalFormatting sqref="F49">
    <cfRule type="expression" dxfId="163" priority="84">
      <formula>$E$5&gt;=10</formula>
    </cfRule>
  </conditionalFormatting>
  <conditionalFormatting sqref="F50">
    <cfRule type="expression" dxfId="162" priority="83">
      <formula>$E$5&gt;=11</formula>
    </cfRule>
  </conditionalFormatting>
  <conditionalFormatting sqref="F51">
    <cfRule type="expression" dxfId="161" priority="82">
      <formula>$E$5&gt;=12</formula>
    </cfRule>
  </conditionalFormatting>
  <conditionalFormatting sqref="H46:O46">
    <cfRule type="expression" dxfId="160" priority="81">
      <formula>$E$5&gt;=7</formula>
    </cfRule>
  </conditionalFormatting>
  <conditionalFormatting sqref="H47:O47">
    <cfRule type="expression" dxfId="159" priority="80">
      <formula>$E$5&gt;=8</formula>
    </cfRule>
  </conditionalFormatting>
  <conditionalFormatting sqref="H48:O48">
    <cfRule type="expression" dxfId="158" priority="79">
      <formula>$E$5&gt;=9</formula>
    </cfRule>
  </conditionalFormatting>
  <conditionalFormatting sqref="H49:O49">
    <cfRule type="expression" dxfId="157" priority="78">
      <formula>$E$5&gt;=10</formula>
    </cfRule>
  </conditionalFormatting>
  <conditionalFormatting sqref="H50:O50">
    <cfRule type="expression" dxfId="156" priority="77">
      <formula>$E$5&gt;=11</formula>
    </cfRule>
  </conditionalFormatting>
  <conditionalFormatting sqref="H51:O51">
    <cfRule type="expression" dxfId="155" priority="76">
      <formula>$E$5&gt;=12</formula>
    </cfRule>
  </conditionalFormatting>
  <conditionalFormatting sqref="F43:S43">
    <cfRule type="expression" dxfId="154" priority="75">
      <formula>$E$5&gt;=4</formula>
    </cfRule>
  </conditionalFormatting>
  <conditionalFormatting sqref="E21:K21">
    <cfRule type="expression" dxfId="153" priority="74">
      <formula>_xlfn.ISFORMULA(E21)</formula>
    </cfRule>
  </conditionalFormatting>
  <conditionalFormatting sqref="I21:L21">
    <cfRule type="expression" dxfId="152" priority="73">
      <formula>_xlfn.ISFORMULA(I21)</formula>
    </cfRule>
  </conditionalFormatting>
  <conditionalFormatting sqref="F43">
    <cfRule type="expression" dxfId="151" priority="72">
      <formula>$E$5&gt;=4</formula>
    </cfRule>
  </conditionalFormatting>
  <conditionalFormatting sqref="G44">
    <cfRule type="expression" dxfId="150" priority="71">
      <formula>$E$5&gt;=5</formula>
    </cfRule>
  </conditionalFormatting>
  <conditionalFormatting sqref="G45">
    <cfRule type="expression" dxfId="149" priority="70">
      <formula>$E$5&gt;=6</formula>
    </cfRule>
  </conditionalFormatting>
  <conditionalFormatting sqref="G46">
    <cfRule type="expression" dxfId="148" priority="69">
      <formula>$E$5&gt;=7</formula>
    </cfRule>
  </conditionalFormatting>
  <conditionalFormatting sqref="G47">
    <cfRule type="expression" dxfId="147" priority="68">
      <formula>$E$5&gt;=8</formula>
    </cfRule>
  </conditionalFormatting>
  <conditionalFormatting sqref="G48">
    <cfRule type="expression" dxfId="146" priority="67">
      <formula>$E$5&gt;=9</formula>
    </cfRule>
  </conditionalFormatting>
  <conditionalFormatting sqref="G49">
    <cfRule type="expression" dxfId="145" priority="66">
      <formula>$E$5&gt;=10</formula>
    </cfRule>
  </conditionalFormatting>
  <conditionalFormatting sqref="G50">
    <cfRule type="expression" dxfId="144" priority="65">
      <formula>$E$5&gt;=11</formula>
    </cfRule>
  </conditionalFormatting>
  <conditionalFormatting sqref="G51">
    <cfRule type="expression" dxfId="143" priority="64">
      <formula>$E$5&gt;=12</formula>
    </cfRule>
  </conditionalFormatting>
  <conditionalFormatting sqref="H44">
    <cfRule type="expression" dxfId="142" priority="63">
      <formula>$E$5&gt;=5</formula>
    </cfRule>
  </conditionalFormatting>
  <conditionalFormatting sqref="H45">
    <cfRule type="expression" dxfId="141" priority="62">
      <formula>$E$5&gt;=6</formula>
    </cfRule>
  </conditionalFormatting>
  <conditionalFormatting sqref="H46">
    <cfRule type="expression" dxfId="140" priority="61">
      <formula>$E$5&gt;=7</formula>
    </cfRule>
  </conditionalFormatting>
  <conditionalFormatting sqref="H47">
    <cfRule type="expression" dxfId="139" priority="60">
      <formula>$E$5&gt;=8</formula>
    </cfRule>
  </conditionalFormatting>
  <conditionalFormatting sqref="H48">
    <cfRule type="expression" dxfId="138" priority="59">
      <formula>$E$5&gt;=9</formula>
    </cfRule>
  </conditionalFormatting>
  <conditionalFormatting sqref="H49">
    <cfRule type="expression" dxfId="137" priority="58">
      <formula>$E$5&gt;=10</formula>
    </cfRule>
  </conditionalFormatting>
  <conditionalFormatting sqref="H50">
    <cfRule type="expression" dxfId="136" priority="57">
      <formula>$E$5&gt;=11</formula>
    </cfRule>
  </conditionalFormatting>
  <conditionalFormatting sqref="H51">
    <cfRule type="expression" dxfId="135" priority="56">
      <formula>$E$5&gt;=12</formula>
    </cfRule>
  </conditionalFormatting>
  <conditionalFormatting sqref="O46">
    <cfRule type="expression" dxfId="134" priority="55">
      <formula>$E$5&gt;=7</formula>
    </cfRule>
  </conditionalFormatting>
  <conditionalFormatting sqref="O47">
    <cfRule type="expression" dxfId="133" priority="54">
      <formula>$E$5&gt;=8</formula>
    </cfRule>
  </conditionalFormatting>
  <conditionalFormatting sqref="O48">
    <cfRule type="expression" dxfId="132" priority="53">
      <formula>$E$5&gt;=9</formula>
    </cfRule>
  </conditionalFormatting>
  <conditionalFormatting sqref="O49">
    <cfRule type="expression" dxfId="131" priority="52">
      <formula>$E$5&gt;=10</formula>
    </cfRule>
  </conditionalFormatting>
  <conditionalFormatting sqref="O50">
    <cfRule type="expression" dxfId="130" priority="51">
      <formula>$E$5&gt;=11</formula>
    </cfRule>
  </conditionalFormatting>
  <conditionalFormatting sqref="O51">
    <cfRule type="expression" dxfId="129" priority="50">
      <formula>$E$5&gt;=12</formula>
    </cfRule>
  </conditionalFormatting>
  <conditionalFormatting sqref="S40">
    <cfRule type="expression" dxfId="128" priority="49">
      <formula>$E$5&gt;=1</formula>
    </cfRule>
  </conditionalFormatting>
  <conditionalFormatting sqref="S41">
    <cfRule type="expression" dxfId="127" priority="48">
      <formula>$E$5&gt;=2</formula>
    </cfRule>
  </conditionalFormatting>
  <conditionalFormatting sqref="S42">
    <cfRule type="expression" dxfId="126" priority="47">
      <formula>$E$5&gt;=3</formula>
    </cfRule>
  </conditionalFormatting>
  <conditionalFormatting sqref="S44">
    <cfRule type="expression" dxfId="125" priority="46">
      <formula>$E$5&gt;=5</formula>
    </cfRule>
  </conditionalFormatting>
  <conditionalFormatting sqref="S45">
    <cfRule type="expression" dxfId="124" priority="45">
      <formula>$E$5&gt;=6</formula>
    </cfRule>
  </conditionalFormatting>
  <conditionalFormatting sqref="S46">
    <cfRule type="expression" dxfId="123" priority="44">
      <formula>$E$5&gt;=7</formula>
    </cfRule>
  </conditionalFormatting>
  <conditionalFormatting sqref="S47">
    <cfRule type="expression" dxfId="122" priority="43">
      <formula>$E$5&gt;=8</formula>
    </cfRule>
  </conditionalFormatting>
  <conditionalFormatting sqref="S48">
    <cfRule type="expression" dxfId="121" priority="42">
      <formula>$E$5&gt;=9</formula>
    </cfRule>
  </conditionalFormatting>
  <conditionalFormatting sqref="S49">
    <cfRule type="expression" dxfId="120" priority="41">
      <formula>$E$5&gt;=10</formula>
    </cfRule>
  </conditionalFormatting>
  <conditionalFormatting sqref="S50">
    <cfRule type="expression" dxfId="119" priority="40">
      <formula>$E$5&gt;=11</formula>
    </cfRule>
  </conditionalFormatting>
  <conditionalFormatting sqref="S51">
    <cfRule type="expression" dxfId="118" priority="39">
      <formula>$E$5&gt;=12</formula>
    </cfRule>
  </conditionalFormatting>
  <conditionalFormatting sqref="S52">
    <cfRule type="expression" dxfId="117" priority="38">
      <formula>$E$5&gt;=13</formula>
    </cfRule>
  </conditionalFormatting>
  <conditionalFormatting sqref="S53">
    <cfRule type="expression" dxfId="116" priority="37">
      <formula>$E$5&gt;=14</formula>
    </cfRule>
  </conditionalFormatting>
  <conditionalFormatting sqref="S54">
    <cfRule type="expression" dxfId="115" priority="36">
      <formula>$E$5&gt;=15</formula>
    </cfRule>
  </conditionalFormatting>
  <conditionalFormatting sqref="S55">
    <cfRule type="expression" dxfId="114" priority="35">
      <formula>$E$5&gt;=16</formula>
    </cfRule>
  </conditionalFormatting>
  <conditionalFormatting sqref="S56">
    <cfRule type="expression" dxfId="113" priority="34">
      <formula>$E$5&gt;=17</formula>
    </cfRule>
  </conditionalFormatting>
  <conditionalFormatting sqref="S57">
    <cfRule type="expression" dxfId="112" priority="33">
      <formula>$E$5&gt;=18</formula>
    </cfRule>
  </conditionalFormatting>
  <conditionalFormatting sqref="S43">
    <cfRule type="expression" dxfId="111" priority="32">
      <formula>$E$5&gt;=4</formula>
    </cfRule>
  </conditionalFormatting>
  <conditionalFormatting sqref="P46">
    <cfRule type="expression" dxfId="110" priority="31">
      <formula>$E$5&gt;=7</formula>
    </cfRule>
  </conditionalFormatting>
  <conditionalFormatting sqref="P47">
    <cfRule type="expression" dxfId="109" priority="30">
      <formula>$E$5&gt;=8</formula>
    </cfRule>
  </conditionalFormatting>
  <conditionalFormatting sqref="P48">
    <cfRule type="expression" dxfId="108" priority="29">
      <formula>$E$5&gt;=9</formula>
    </cfRule>
  </conditionalFormatting>
  <conditionalFormatting sqref="P49">
    <cfRule type="expression" dxfId="107" priority="28">
      <formula>$E$5&gt;=10</formula>
    </cfRule>
  </conditionalFormatting>
  <conditionalFormatting sqref="P50">
    <cfRule type="expression" dxfId="106" priority="27">
      <formula>$E$5&gt;=11</formula>
    </cfRule>
  </conditionalFormatting>
  <conditionalFormatting sqref="P51">
    <cfRule type="expression" dxfId="105" priority="26">
      <formula>$E$5&gt;=12</formula>
    </cfRule>
  </conditionalFormatting>
  <conditionalFormatting sqref="T40">
    <cfRule type="expression" dxfId="104" priority="25">
      <formula>$E$5&gt;=1</formula>
    </cfRule>
  </conditionalFormatting>
  <conditionalFormatting sqref="T41">
    <cfRule type="expression" dxfId="103" priority="24">
      <formula>$E$5&gt;=2</formula>
    </cfRule>
  </conditionalFormatting>
  <conditionalFormatting sqref="T42">
    <cfRule type="expression" dxfId="102" priority="23">
      <formula>$E$5&gt;=3</formula>
    </cfRule>
  </conditionalFormatting>
  <conditionalFormatting sqref="T44">
    <cfRule type="expression" dxfId="101" priority="22">
      <formula>$E$5&gt;=5</formula>
    </cfRule>
  </conditionalFormatting>
  <conditionalFormatting sqref="T45">
    <cfRule type="expression" dxfId="100" priority="21">
      <formula>$E$5&gt;=6</formula>
    </cfRule>
  </conditionalFormatting>
  <conditionalFormatting sqref="T46">
    <cfRule type="expression" dxfId="99" priority="20">
      <formula>$E$5&gt;=7</formula>
    </cfRule>
  </conditionalFormatting>
  <conditionalFormatting sqref="T47">
    <cfRule type="expression" dxfId="98" priority="19">
      <formula>$E$5&gt;=8</formula>
    </cfRule>
  </conditionalFormatting>
  <conditionalFormatting sqref="T48">
    <cfRule type="expression" dxfId="97" priority="18">
      <formula>$E$5&gt;=9</formula>
    </cfRule>
  </conditionalFormatting>
  <conditionalFormatting sqref="T49">
    <cfRule type="expression" dxfId="96" priority="17">
      <formula>$E$5&gt;=10</formula>
    </cfRule>
  </conditionalFormatting>
  <conditionalFormatting sqref="T50">
    <cfRule type="expression" dxfId="95" priority="16">
      <formula>$E$5&gt;=11</formula>
    </cfRule>
  </conditionalFormatting>
  <conditionalFormatting sqref="T51">
    <cfRule type="expression" dxfId="94" priority="15">
      <formula>$E$5&gt;=12</formula>
    </cfRule>
  </conditionalFormatting>
  <conditionalFormatting sqref="T52">
    <cfRule type="expression" dxfId="93" priority="14">
      <formula>$E$5&gt;=13</formula>
    </cfRule>
  </conditionalFormatting>
  <conditionalFormatting sqref="T53">
    <cfRule type="expression" dxfId="92" priority="13">
      <formula>$E$5&gt;=14</formula>
    </cfRule>
  </conditionalFormatting>
  <conditionalFormatting sqref="T54">
    <cfRule type="expression" dxfId="91" priority="12">
      <formula>$E$5&gt;=15</formula>
    </cfRule>
  </conditionalFormatting>
  <conditionalFormatting sqref="T55">
    <cfRule type="expression" dxfId="90" priority="11">
      <formula>$E$5&gt;=16</formula>
    </cfRule>
  </conditionalFormatting>
  <conditionalFormatting sqref="T56">
    <cfRule type="expression" dxfId="89" priority="10">
      <formula>$E$5&gt;=17</formula>
    </cfRule>
  </conditionalFormatting>
  <conditionalFormatting sqref="T57">
    <cfRule type="expression" dxfId="88" priority="9">
      <formula>$E$5&gt;=18</formula>
    </cfRule>
  </conditionalFormatting>
  <conditionalFormatting sqref="T43">
    <cfRule type="expression" dxfId="87" priority="8">
      <formula>$E$5&gt;=4</formula>
    </cfRule>
  </conditionalFormatting>
  <conditionalFormatting sqref="L21">
    <cfRule type="expression" dxfId="86" priority="7">
      <formula>_xlfn.ISFORMULA(L21)</formula>
    </cfRule>
  </conditionalFormatting>
  <conditionalFormatting sqref="E37:F37">
    <cfRule type="expression" dxfId="85" priority="1">
      <formula>$E$37&gt;2000</formula>
    </cfRule>
    <cfRule type="expression" dxfId="84" priority="2">
      <formula>$E$37&gt;2000</formula>
    </cfRule>
    <cfRule type="expression" dxfId="83" priority="3">
      <formula>$E$37&gt;2000</formula>
    </cfRule>
    <cfRule type="expression" dxfId="82" priority="4">
      <formula>$E$37&gt;2000</formula>
    </cfRule>
    <cfRule type="expression" dxfId="81" priority="5">
      <formula>$E$37&gt;2000</formula>
    </cfRule>
    <cfRule type="expression" dxfId="80" priority="6">
      <formula>$E$37&gt;2000</formula>
    </cfRule>
  </conditionalFormatting>
  <dataValidations count="8">
    <dataValidation type="whole" allowBlank="1" showInputMessage="1" showErrorMessage="1" errorTitle="Falscher Wert" error="&quot;Wert Max&quot; mus zwischen 0 und 255 liegen" sqref="E8:F8" xr:uid="{00000000-0002-0000-0C00-000000000000}">
      <formula1>0</formula1>
      <formula2>255</formula2>
    </dataValidation>
    <dataValidation type="whole" allowBlank="1" showInputMessage="1" showErrorMessage="1" errorTitle="Falscher Wert" error="&quot;Wert ausgeschaltet&quot; muss zwischen 0 und 255 liegen." sqref="E9:F9" xr:uid="{00000000-0002-0000-0C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C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C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C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C00-000005000000}">
      <formula1>0</formula1>
      <formula2>255</formula2>
    </dataValidation>
    <dataValidation type="decimal" allowBlank="1" showErrorMessage="1" errorTitle="Falscher Wert" error="&quot;Bits pro Wert&quot; muss zwischen 1 und 8 liegen" sqref="E6:F6" xr:uid="{00000000-0002-0000-0C00-000006000000}">
      <formula1>1</formula1>
      <formula2>8</formula2>
    </dataValidation>
    <dataValidation type="whole" allowBlank="1" showInputMessage="1" showErrorMessage="1" errorTitle="Falscher Wert" error="Die Anzahl der Ausgabekanäle muss zwischen 1 und 765 liegen" sqref="E5:F5" xr:uid="{00000000-0002-0000-0C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FEDA-48DA-4761-90E7-A2D1C1FA5CF6}">
  <sheetPr codeName="Tabelle32"/>
  <dimension ref="A1:GM143"/>
  <sheetViews>
    <sheetView showGridLines="0" tabSelected="1" topLeftCell="A7" workbookViewId="0">
      <selection activeCell="T64" sqref="T64"/>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1</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18</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4</v>
      </c>
      <c r="F6" s="96"/>
      <c r="G6" t="str">
        <f>CONCATENATE("  =&gt; ",2^Bits_pro_Wert," Helligheitsstufen (0..",2^Bits_pro_Wert-1,")")</f>
        <v xml:space="preserve">  =&gt; 16 Helligheitsstufen (0..15)</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128</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t="s">
        <v>48</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v>1</v>
      </c>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XPatternT1(1,12,SI_LocalVar,18,0,128,0,0,500 ms,0,240,0,15,0,0,0,0,0,240,0,0,0,0,0,0,0,0,240,0,0,0,0,0,0,240,15,0,240,0,0,16,17,17,1,0  ,63,191,191,191)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168</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_Dep_Signal4_RGB(LED)                       XPatternT1(LED,12,SI_LocalVar,18,0,128,0,0,500 ms,0,240,0,15,0,0,0,0,0,240,0,0,0,0,0,0,0,0,240,0,0,0,0,0,0,240,15,0,240,0,0,16,17,17,1,0  ,63,191,191,191)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_Dep_Signal4_RGB_StCh(LED,StCh)     XPatternT1(LED,StCh+12,SI_LocalVar,18,0,128,0,0,500 ms,0,240,0,15,0,0,0,0,0,240,0,0,0,0,0,0,0,0,240,0,0,0,0,0,0,240,15,0,240,0,0,16,17,17,1,0  ,63,191,191,191)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131</v>
      </c>
      <c r="E29" s="14" t="str">
        <f>IF(Goto_Mode=1,"SI_LocalVar",SchalterNr)</f>
        <v>SI_LocalVar</v>
      </c>
      <c r="G29" s="81" t="s">
        <v>132</v>
      </c>
      <c r="H29" s="2" t="str">
        <f>IF(Goto_Mode=1,"",",InNr")</f>
        <v/>
      </c>
      <c r="I29" s="81" t="s">
        <v>133</v>
      </c>
      <c r="J29" s="14" t="str">
        <f>IF(Goto_Mode=1,"SI_LocalVar","InNr")</f>
        <v>SI_LocalVar</v>
      </c>
      <c r="L29" s="81"/>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12</v>
      </c>
      <c r="F30" s="2" t="str">
        <f>DEC2BIN(E30,8)</f>
        <v>00001100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12</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0:,0,240,0,15,0,0,0,0,0,240,0,0,0,0,0,0,0,0,240,0,0,0,0,0,0,240,15,0,240,0,0,16,17,17,1,0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0</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,0,240,0,15,0,0,0,0,0,240,0,0,0,0,0,0,0,0,240,0,0,0,0,0,0,240,15,0,240,0,0,16,17,17,1,0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129</v>
      </c>
      <c r="E35" s="14" t="str">
        <f>Calculate_Goto(Kanaele,E12,E41:EV41,E44:EV298)</f>
        <v xml:space="preserve">  ,63,191,191,191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18,0,128,0,0,500 ms,0,240,0,15,0,0,0,0,0,240,0,0,0,0,0,0,0,0,240,0,0,0,0,0,0,240,15,0,240,0,0,16,17,17,1,0  ,63,191,191,191)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_Dep_Signal4_RGB(LED,NStru,InNr)    XPatternT1(LED,NStru,InNr,18,0,128,0,0,500 ms,0,240,0,15,0,0,0,0,0,240,0,0,0,0,0,0,0,0,240,0,0,0,0,0,0,240,15,0,240,0,0,16,17,17,1,0  ,63,191,191,191)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36</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88">
        <f>E38+TimerBytes+DataBytes</f>
        <v>49</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70" customFormat="1" ht="12" customHeight="1" x14ac:dyDescent="0.3">
      <c r="A41"/>
      <c r="B41" s="92" t="s">
        <v>157</v>
      </c>
      <c r="C41" s="93"/>
      <c r="D41" s="93"/>
      <c r="E41" s="71" t="s">
        <v>128</v>
      </c>
      <c r="F41" s="72" t="s">
        <v>156</v>
      </c>
      <c r="G41" s="72" t="s">
        <v>156</v>
      </c>
      <c r="H41" s="72" t="s">
        <v>156</v>
      </c>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row>
    <row r="42" spans="1:193" ht="12" customHeight="1" x14ac:dyDescent="0.3">
      <c r="D42" s="5" t="str">
        <f>IF(COUNTA(E44:AJ51)=0,"Bitte Tabelle ausfüllen. Positionen an denen die LEDs leuchten sollen werden mit einem Zeichen (z.B. x) markiert. Bei einer leeren Zellen ist die LED aus.","")</f>
        <v/>
      </c>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c r="AW42" s="85"/>
      <c r="AX42" s="85"/>
      <c r="AY42" s="85"/>
      <c r="AZ42" s="85"/>
      <c r="BA42" s="85"/>
      <c r="BB42" s="85"/>
      <c r="BC42" s="85"/>
      <c r="BD42" s="85"/>
      <c r="BE42" s="85"/>
      <c r="BF42" s="85"/>
      <c r="BG42" s="85"/>
      <c r="BH42" s="85"/>
    </row>
    <row r="43" spans="1:193" ht="15" customHeight="1" x14ac:dyDescent="0.3">
      <c r="B43" s="9" t="s">
        <v>8</v>
      </c>
      <c r="C43" s="7"/>
      <c r="D43" s="10" t="s">
        <v>122</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86"/>
      <c r="F44" s="86"/>
      <c r="G44" s="86"/>
      <c r="H44" s="84"/>
      <c r="I44" s="84"/>
      <c r="J44" s="84"/>
      <c r="K44" s="84"/>
      <c r="L44" s="84"/>
      <c r="M44" s="84"/>
      <c r="N44" s="84"/>
      <c r="O44" s="84"/>
      <c r="P44" s="84"/>
      <c r="Q44" s="84"/>
      <c r="R44" s="84"/>
      <c r="S44" s="84"/>
      <c r="T44" s="84"/>
      <c r="U44" s="84"/>
      <c r="V44" s="84"/>
      <c r="W44" s="84"/>
      <c r="X44" s="84"/>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86"/>
      <c r="F45" s="86" t="s">
        <v>0</v>
      </c>
      <c r="G45" s="86" t="s">
        <v>0</v>
      </c>
      <c r="H45" s="84"/>
      <c r="I45" s="84"/>
      <c r="J45" s="84"/>
      <c r="K45" s="84"/>
      <c r="L45" s="84"/>
      <c r="M45" s="84"/>
      <c r="N45" s="84"/>
      <c r="O45" s="84"/>
      <c r="P45" s="84"/>
      <c r="Q45" s="84"/>
      <c r="R45" s="84"/>
      <c r="S45" s="84"/>
      <c r="T45" s="84"/>
      <c r="U45" s="84"/>
      <c r="V45" s="84"/>
      <c r="W45" s="84"/>
      <c r="X45" s="84"/>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5" t="s">
        <v>53</v>
      </c>
      <c r="E46" s="86"/>
      <c r="F46" s="86"/>
      <c r="G46" s="86"/>
      <c r="H46" s="84"/>
      <c r="I46" s="84"/>
      <c r="J46" s="84"/>
      <c r="K46" s="84"/>
      <c r="L46" s="84"/>
      <c r="M46" s="84"/>
      <c r="N46" s="84"/>
      <c r="O46" s="84"/>
      <c r="P46" s="84"/>
      <c r="Q46" s="84"/>
      <c r="R46" s="84"/>
      <c r="S46" s="84"/>
      <c r="T46" s="84"/>
      <c r="U46" s="84"/>
      <c r="V46" s="84"/>
      <c r="W46" s="84"/>
      <c r="X46" s="84"/>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32" t="s">
        <v>4</v>
      </c>
      <c r="E47" s="86" t="s">
        <v>0</v>
      </c>
      <c r="F47" s="86"/>
      <c r="G47" s="86"/>
      <c r="H47" s="84" t="s">
        <v>0</v>
      </c>
      <c r="I47" s="84"/>
      <c r="J47" s="84"/>
      <c r="K47" s="84"/>
      <c r="L47" s="84"/>
      <c r="M47" s="84"/>
      <c r="N47" s="84"/>
      <c r="O47" s="84"/>
      <c r="P47" s="84"/>
      <c r="Q47" s="84"/>
      <c r="R47" s="84"/>
      <c r="S47" s="84"/>
      <c r="T47" s="84"/>
      <c r="U47" s="84"/>
      <c r="V47" s="84"/>
      <c r="W47" s="84"/>
      <c r="X47" s="84"/>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34" t="s">
        <v>6</v>
      </c>
      <c r="E48" s="86"/>
      <c r="F48" s="86"/>
      <c r="G48" s="86"/>
      <c r="H48" s="84"/>
      <c r="I48" s="84"/>
      <c r="J48" s="84"/>
      <c r="K48" s="84"/>
      <c r="L48" s="84"/>
      <c r="M48" s="84"/>
      <c r="N48" s="84"/>
      <c r="O48" s="84"/>
      <c r="P48" s="84"/>
      <c r="Q48" s="84"/>
      <c r="R48" s="84"/>
      <c r="S48" s="84"/>
      <c r="T48" s="84"/>
      <c r="U48" s="84"/>
      <c r="V48" s="84"/>
      <c r="W48" s="84"/>
      <c r="X48" s="84"/>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55" t="s">
        <v>54</v>
      </c>
      <c r="E49" s="86"/>
      <c r="F49" s="86"/>
      <c r="G49" s="86"/>
      <c r="H49" s="84"/>
      <c r="I49" s="84"/>
      <c r="J49" s="84"/>
      <c r="K49" s="84"/>
      <c r="L49" s="84"/>
      <c r="M49" s="84"/>
      <c r="N49" s="84"/>
      <c r="O49" s="84"/>
      <c r="P49" s="84"/>
      <c r="Q49" s="84"/>
      <c r="R49" s="84"/>
      <c r="S49" s="84"/>
      <c r="T49" s="84"/>
      <c r="U49" s="84"/>
      <c r="V49" s="84"/>
      <c r="W49" s="84"/>
      <c r="X49" s="84"/>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32" t="s">
        <v>57</v>
      </c>
      <c r="E50" s="86" t="s">
        <v>0</v>
      </c>
      <c r="F50" s="86"/>
      <c r="G50" s="86"/>
      <c r="H50" s="84"/>
      <c r="I50" s="84"/>
      <c r="J50" s="84"/>
      <c r="K50" s="84"/>
      <c r="L50" s="84"/>
      <c r="M50" s="84"/>
      <c r="N50" s="84"/>
      <c r="O50" s="84"/>
      <c r="P50" s="84"/>
      <c r="Q50" s="84"/>
      <c r="R50" s="84"/>
      <c r="S50" s="84"/>
      <c r="T50" s="84"/>
      <c r="U50" s="84"/>
      <c r="V50" s="84"/>
      <c r="W50" s="84"/>
      <c r="X50" s="84"/>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34" t="s">
        <v>56</v>
      </c>
      <c r="E51" s="86"/>
      <c r="F51" s="86"/>
      <c r="G51" s="86"/>
      <c r="H51" s="84"/>
      <c r="I51" s="84"/>
      <c r="J51" s="84"/>
      <c r="K51" s="84"/>
      <c r="L51" s="84"/>
      <c r="M51" s="84"/>
      <c r="N51" s="84"/>
      <c r="O51" s="84"/>
      <c r="P51" s="84"/>
      <c r="Q51" s="84"/>
      <c r="R51" s="84"/>
      <c r="S51" s="84"/>
      <c r="T51" s="84"/>
      <c r="U51" s="84"/>
      <c r="V51" s="84"/>
      <c r="W51" s="84"/>
      <c r="X51" s="84"/>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55" t="s">
        <v>55</v>
      </c>
      <c r="E52" s="62"/>
      <c r="F52" s="86"/>
      <c r="G52" s="86"/>
      <c r="H52" s="84"/>
      <c r="I52" s="84"/>
      <c r="J52" s="84"/>
      <c r="K52" s="84"/>
      <c r="L52" s="84"/>
      <c r="M52" s="84"/>
      <c r="N52" s="84"/>
      <c r="O52" s="84"/>
      <c r="P52" s="84"/>
      <c r="Q52" s="84"/>
      <c r="R52" s="84"/>
      <c r="S52" s="84"/>
      <c r="T52" s="84"/>
      <c r="U52" s="84"/>
      <c r="V52" s="84"/>
      <c r="W52" s="84"/>
      <c r="X52" s="84"/>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32" t="s">
        <v>162</v>
      </c>
      <c r="E53" s="84"/>
      <c r="F53" s="84"/>
      <c r="G53" s="84"/>
      <c r="H53" s="84">
        <v>1</v>
      </c>
      <c r="I53" s="84"/>
      <c r="J53" s="84"/>
      <c r="K53" s="84"/>
      <c r="L53" s="84"/>
      <c r="M53" s="84"/>
      <c r="N53" s="84"/>
      <c r="O53" s="84"/>
      <c r="P53" s="84"/>
      <c r="Q53" s="84"/>
      <c r="R53" s="84"/>
      <c r="S53" s="84"/>
      <c r="T53" s="84"/>
      <c r="U53" s="84"/>
      <c r="V53" s="84"/>
      <c r="W53" s="84"/>
      <c r="X53" s="84"/>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34" t="s">
        <v>160</v>
      </c>
      <c r="E54" s="86"/>
      <c r="F54" s="86"/>
      <c r="G54" s="86"/>
      <c r="H54" s="84">
        <v>1</v>
      </c>
      <c r="I54" s="84"/>
      <c r="J54" s="84"/>
      <c r="K54" s="84"/>
      <c r="L54" s="84"/>
      <c r="M54" s="84"/>
      <c r="N54" s="84"/>
      <c r="O54" s="84"/>
      <c r="P54" s="84"/>
      <c r="Q54" s="84"/>
      <c r="R54" s="84"/>
      <c r="S54" s="84"/>
      <c r="T54" s="84"/>
      <c r="U54" s="84"/>
      <c r="V54" s="84"/>
      <c r="W54" s="84"/>
      <c r="X54" s="84"/>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55" t="s">
        <v>163</v>
      </c>
      <c r="E55" s="86"/>
      <c r="F55" s="86"/>
      <c r="G55" s="86"/>
      <c r="H55" s="84">
        <v>1</v>
      </c>
      <c r="I55" s="84"/>
      <c r="J55" s="84"/>
      <c r="K55" s="84"/>
      <c r="L55" s="84"/>
      <c r="M55" s="84"/>
      <c r="N55" s="84"/>
      <c r="O55" s="84"/>
      <c r="P55" s="84"/>
      <c r="Q55" s="84"/>
      <c r="R55" s="84"/>
      <c r="S55" s="84"/>
      <c r="T55" s="84"/>
      <c r="U55" s="84"/>
      <c r="V55" s="84"/>
      <c r="W55" s="84"/>
      <c r="X55" s="84"/>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32" t="s">
        <v>164</v>
      </c>
      <c r="E56" s="86"/>
      <c r="F56" s="86"/>
      <c r="G56" s="86"/>
      <c r="H56" s="86">
        <v>1</v>
      </c>
      <c r="I56" s="86"/>
      <c r="J56" s="86"/>
      <c r="K56" s="86"/>
      <c r="L56" s="86"/>
      <c r="M56" s="86"/>
      <c r="N56" s="86"/>
      <c r="O56" s="86"/>
      <c r="P56" s="86"/>
      <c r="Q56" s="86"/>
      <c r="R56" s="86"/>
      <c r="S56" s="86"/>
      <c r="T56" s="86"/>
      <c r="U56" s="86"/>
      <c r="V56" s="86"/>
      <c r="W56" s="86"/>
      <c r="X56" s="86"/>
      <c r="Y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4" t="s">
        <v>165</v>
      </c>
      <c r="E57" s="86"/>
      <c r="F57" s="86"/>
      <c r="G57" s="86"/>
      <c r="H57" s="86">
        <v>1</v>
      </c>
      <c r="I57" s="86"/>
      <c r="J57" s="86"/>
      <c r="K57" s="86"/>
      <c r="L57" s="86"/>
      <c r="M57" s="86"/>
      <c r="N57" s="86"/>
      <c r="O57" s="86"/>
      <c r="P57" s="86"/>
      <c r="Q57" s="86"/>
      <c r="R57" s="86"/>
      <c r="S57" s="86"/>
      <c r="T57" s="86"/>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55" t="s">
        <v>161</v>
      </c>
      <c r="E58" s="86"/>
      <c r="F58" s="86"/>
      <c r="G58" s="86"/>
      <c r="H58" s="86">
        <v>1</v>
      </c>
      <c r="I58" s="86"/>
      <c r="J58" s="86"/>
      <c r="K58" s="86"/>
      <c r="L58" s="86"/>
      <c r="M58" s="86"/>
      <c r="N58" s="86"/>
      <c r="O58" s="86"/>
      <c r="P58" s="86"/>
      <c r="Q58" s="86"/>
      <c r="R58" s="86"/>
      <c r="S58" s="86"/>
      <c r="T58" s="86"/>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32" t="s">
        <v>169</v>
      </c>
      <c r="E59" s="86"/>
      <c r="F59" s="86"/>
      <c r="G59" s="86" t="s">
        <v>0</v>
      </c>
      <c r="H59" s="86"/>
      <c r="I59" s="86"/>
      <c r="J59" s="86"/>
      <c r="K59" s="86"/>
      <c r="L59" s="86"/>
      <c r="M59" s="86"/>
      <c r="N59" s="86"/>
      <c r="O59" s="86"/>
      <c r="P59" s="86"/>
      <c r="Q59" s="86"/>
      <c r="R59" s="86"/>
      <c r="S59" s="86"/>
      <c r="T59" s="86"/>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34" t="s">
        <v>170</v>
      </c>
      <c r="E60" s="86"/>
      <c r="F60" s="86"/>
      <c r="G60" s="86" t="s">
        <v>0</v>
      </c>
      <c r="H60" s="86"/>
      <c r="I60" s="86"/>
      <c r="J60" s="86"/>
      <c r="K60" s="86"/>
      <c r="L60" s="86"/>
      <c r="M60" s="86"/>
      <c r="N60" s="86"/>
      <c r="O60" s="86"/>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55" t="s">
        <v>171</v>
      </c>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ht="28.8" x14ac:dyDescent="0.3">
      <c r="B62" s="20">
        <v>19</v>
      </c>
      <c r="C62" s="8">
        <f t="shared" si="2"/>
        <v>262144</v>
      </c>
      <c r="D62" s="87"/>
      <c r="E62" s="90" t="s">
        <v>49</v>
      </c>
      <c r="F62" s="90" t="s">
        <v>50</v>
      </c>
      <c r="G62" s="90" t="s">
        <v>51</v>
      </c>
      <c r="H62" s="90" t="s">
        <v>159</v>
      </c>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87"/>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86"/>
      <c r="F66" s="86"/>
      <c r="G66" s="86"/>
      <c r="H66" s="86"/>
      <c r="I66" s="86"/>
      <c r="J66" s="86"/>
      <c r="K66" s="86"/>
      <c r="L66" s="86"/>
      <c r="M66" s="86"/>
      <c r="N66" s="86"/>
      <c r="O66" s="86"/>
      <c r="P66" s="86"/>
      <c r="Q66" s="86"/>
      <c r="R66" s="86"/>
      <c r="S66" s="86"/>
      <c r="T66" s="86"/>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86"/>
      <c r="F68" s="86"/>
      <c r="G68" s="86"/>
      <c r="H68" s="86"/>
      <c r="I68" s="86"/>
      <c r="J68" s="86"/>
      <c r="K68" s="86"/>
      <c r="L68" s="86"/>
      <c r="M68" s="86"/>
      <c r="N68" s="86"/>
      <c r="O68" s="86"/>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86"/>
      <c r="F77" s="86"/>
      <c r="G77" s="86"/>
      <c r="H77" s="86"/>
      <c r="I77" s="94"/>
      <c r="J77" s="95"/>
      <c r="K77" s="86"/>
      <c r="L77" s="86"/>
      <c r="M77" s="86"/>
      <c r="N77" s="8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link="1"/>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79" priority="15">
      <formula>$E$5&gt;=ROW(B44)-ROW($B$43)</formula>
    </cfRule>
  </conditionalFormatting>
  <conditionalFormatting sqref="B78:BH153 B77:I77 K77:BH77 AA56:BH56 E44:BH55 E56:Y56 B62:BH76 B44:C61 E57:BH61">
    <cfRule type="expression" dxfId="78" priority="14">
      <formula>$E$5&gt;=ROW(B44)-ROW($B$43)</formula>
    </cfRule>
  </conditionalFormatting>
  <conditionalFormatting sqref="E40:F41">
    <cfRule type="expression" dxfId="77" priority="6">
      <formula>$E$40&gt;2000</formula>
    </cfRule>
    <cfRule type="expression" dxfId="76" priority="7">
      <formula>$E$40&gt;2000</formula>
    </cfRule>
    <cfRule type="expression" dxfId="75" priority="8">
      <formula>$E$40&gt;2000</formula>
    </cfRule>
    <cfRule type="expression" dxfId="74" priority="9">
      <formula>$E$40&gt;2000</formula>
    </cfRule>
    <cfRule type="expression" dxfId="73" priority="10">
      <formula>$E$40&gt;2000</formula>
    </cfRule>
    <cfRule type="expression" dxfId="72" priority="11">
      <formula>$E$40&gt;2000</formula>
    </cfRule>
    <cfRule type="expression" dxfId="71" priority="12">
      <formula>$E$40&gt;2000</formula>
    </cfRule>
    <cfRule type="expression" dxfId="70" priority="13">
      <formula>$E$40&gt;2000</formula>
    </cfRule>
  </conditionalFormatting>
  <conditionalFormatting sqref="D44:D49">
    <cfRule type="expression" dxfId="69" priority="5">
      <formula>$E$5&gt;=ROW(D44)-ROW($B$39)</formula>
    </cfRule>
  </conditionalFormatting>
  <conditionalFormatting sqref="D50:D52">
    <cfRule type="expression" dxfId="68" priority="4">
      <formula>$E$5&gt;=ROW(D50)-ROW($B$39)</formula>
    </cfRule>
  </conditionalFormatting>
  <conditionalFormatting sqref="D53:D55">
    <cfRule type="expression" dxfId="67" priority="3">
      <formula>$E$5&gt;=ROW(D53)-ROW($B$39)</formula>
    </cfRule>
  </conditionalFormatting>
  <conditionalFormatting sqref="D56:D58">
    <cfRule type="expression" dxfId="66" priority="2">
      <formula>$E$5&gt;=ROW(D56)-ROW($B$39)</formula>
    </cfRule>
  </conditionalFormatting>
  <conditionalFormatting sqref="D59:D61">
    <cfRule type="expression" dxfId="65" priority="1">
      <formula>$E$5&gt;=ROW(D59)-ROW($B$39)</formula>
    </cfRule>
  </conditionalFormatting>
  <dataValidations count="8">
    <dataValidation type="whole" allowBlank="1" showInputMessage="1" showErrorMessage="1" errorTitle="Falscher Wert" error="Die Anzahl der Ausgabekanäle muss zwischen 1 und 765 liegen" sqref="E5:F5" xr:uid="{666BD136-90DD-4975-86E8-7811E67FDB50}">
      <formula1>1</formula1>
      <formula2>765</formula2>
    </dataValidation>
    <dataValidation type="whole" allowBlank="1" showInputMessage="1" showErrorMessage="1" errorTitle="Falscher Wert" error="&quot;Wert Max&quot; mus zwischen 0 und 255 liegen" sqref="E8:F8" xr:uid="{AE8E3917-05CC-42DA-8EE5-1572D1F85812}">
      <formula1>0</formula1>
      <formula2>255</formula2>
    </dataValidation>
    <dataValidation type="whole" allowBlank="1" showInputMessage="1" showErrorMessage="1" errorTitle="Falscher Wert" error="&quot;Wert ausgeschaltet&quot; muss zwischen 0 und 255 liegen." sqref="E9:F9" xr:uid="{4E26C369-6DC2-45EB-9123-0EEAB2ACE0B2}">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3FF774B6-59DD-420B-99EF-F6D96FA7EC9E}">
      <formula1>OR(ISTEXT(E4),AND(IF(ISERROR(ROUND(VALUE(E4),0)),FALSE,ROUND(VALUE(E4),0)=E4),E4&gt;=0,E4&lt;=255))</formula1>
    </dataValidation>
    <dataValidation type="whole" allowBlank="1" showInputMessage="1" showErrorMessage="1" errorTitle="Falscher Wert" error="Der Startkanal muss zwischen 0 und 2 liegen" sqref="E3:F3" xr:uid="{41AFAB1F-8BFC-4EA9-B498-82E037054F31}">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3EBD9A1A-1FD7-41EC-9DEB-73359720A149}">
      <formula1>OR(ISTEXT(E2),AND(IF(ISERROR(ROUND(VALUE(E2),0)),FALSE,ROUND(VALUE(E2),0)=E2),E2&gt;=0,E2&lt;=255))</formula1>
    </dataValidation>
    <dataValidation type="whole" allowBlank="1" showInputMessage="1" showErrorMessage="1" errorTitle="Falscher Wert" error="&quot;Wert Min&quot; muss zwischen 0 und 255 liegen" sqref="E7:F7" xr:uid="{F72F48E4-6445-4632-9AEA-2AC7A43637D5}">
      <formula1>0</formula1>
      <formula2>255</formula2>
    </dataValidation>
    <dataValidation type="decimal" allowBlank="1" showErrorMessage="1" errorTitle="Falscher Wert" error="&quot;Bits pro Wert&quot; muss zwischen 1 und 8 liegen" sqref="E6:F6" xr:uid="{DF774E4D-E7E5-40F8-BDDA-8FAFD6AA4C6A}">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DB539-83F8-4158-BF66-854ACF447898}">
  <sheetPr codeName="Tabelle33"/>
  <dimension ref="A1:GM143"/>
  <sheetViews>
    <sheetView showGridLines="0" topLeftCell="A4" workbookViewId="0">
      <selection activeCell="A35" sqref="A35:XFD3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1</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5</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4</v>
      </c>
      <c r="F6" s="96"/>
      <c r="G6" t="str">
        <f>CONCATENATE("  =&gt; ",2^Bits_pro_Wert," Helligheitsstufen (0..",2^Bits_pro_Wert-1,")")</f>
        <v xml:space="preserve">  =&gt; 16 Helligheitsstufen (0..15)</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128</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t="s">
        <v>48</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v>1</v>
      </c>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XPatternT1(1,12,SI_LocalVar,5,0,128,0,0,500 ms,15,240,0,15,0,240,15,240,0,16  ,63,191,191,191)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173</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_Dep_Signal4(LED)                       XPatternT1(LED,12,SI_LocalVar,5,0,128,0,0,500 ms,15,240,0,15,0,240,15,240,0,16  ,63,191,191,191)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_Dep_Signal4_StCh(LED,StCh)     XPatternT1(LED,StCh+12,SI_LocalVar,5,0,128,0,0,500 ms,15,240,0,15,0,240,15,240,0,16  ,63,191,191,191)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131</v>
      </c>
      <c r="E29" s="14" t="str">
        <f>IF(Goto_Mode=1,"SI_LocalVar",SchalterNr)</f>
        <v>SI_LocalVar</v>
      </c>
      <c r="G29" s="81" t="s">
        <v>132</v>
      </c>
      <c r="H29" s="2" t="str">
        <f>IF(Goto_Mode=1,"",",InNr")</f>
        <v/>
      </c>
      <c r="I29" s="81" t="s">
        <v>133</v>
      </c>
      <c r="J29" s="14" t="str">
        <f>IF(Goto_Mode=1,"SI_LocalVar","InNr")</f>
        <v>SI_LocalVar</v>
      </c>
      <c r="L29" s="81"/>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12</v>
      </c>
      <c r="F30" s="2" t="str">
        <f>DEC2BIN(E30,8)</f>
        <v>00001100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12</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0:,15,240,0,15,0,240,15,240,0,16</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0</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,15,240,0,15,0,240,15,240,0,16</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129</v>
      </c>
      <c r="E35" s="14" t="str">
        <f>Calculate_Goto(Kanaele,E12,E41:EV41,E44:EV298)</f>
        <v xml:space="preserve">  ,63,191,191,191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5,0,128,0,0,500 ms,15,240,0,15,0,240,15,240,0,16  ,63,191,191,191)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_Dep_Signal4(LED,NStru,InNr)    XPatternT1(LED,NStru,InNr,5,0,128,0,0,500 ms,15,240,0,15,0,240,15,240,0,16  ,63,191,191,191)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10</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88">
        <f>E38+TimerBytes+DataBytes</f>
        <v>23</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70" customFormat="1" ht="12" customHeight="1" x14ac:dyDescent="0.3">
      <c r="A41"/>
      <c r="B41" s="92" t="s">
        <v>157</v>
      </c>
      <c r="C41" s="93"/>
      <c r="D41" s="93"/>
      <c r="E41" s="71" t="s">
        <v>128</v>
      </c>
      <c r="F41" s="72" t="s">
        <v>156</v>
      </c>
      <c r="G41" s="72" t="s">
        <v>156</v>
      </c>
      <c r="H41" s="72" t="s">
        <v>156</v>
      </c>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row>
    <row r="42" spans="1:193" ht="12" customHeight="1" x14ac:dyDescent="0.3">
      <c r="D42" s="5" t="str">
        <f>IF(COUNTA(E44:AJ51)=0,"Bitte Tabelle ausfüllen. Positionen an denen die LEDs leuchten sollen werden mit einem Zeichen (z.B. x) markiert. Bei einer leeren Zellen ist die LED aus.","")</f>
        <v/>
      </c>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c r="AW42" s="85"/>
      <c r="AX42" s="85"/>
      <c r="AY42" s="85"/>
      <c r="AZ42" s="85"/>
      <c r="BA42" s="85"/>
      <c r="BB42" s="85"/>
      <c r="BC42" s="85"/>
      <c r="BD42" s="85"/>
      <c r="BE42" s="85"/>
      <c r="BF42" s="85"/>
      <c r="BG42" s="85"/>
      <c r="BH42" s="85"/>
    </row>
    <row r="43" spans="1:193" ht="15" customHeight="1" x14ac:dyDescent="0.3">
      <c r="B43" s="9" t="s">
        <v>8</v>
      </c>
      <c r="C43" s="7"/>
      <c r="D43" s="10" t="s">
        <v>122</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86" t="s">
        <v>0</v>
      </c>
      <c r="F44" s="86"/>
      <c r="G44" s="86"/>
      <c r="H44" s="84" t="s">
        <v>0</v>
      </c>
      <c r="I44" s="84"/>
      <c r="J44" s="84"/>
      <c r="K44" s="84"/>
      <c r="L44" s="84"/>
      <c r="M44" s="84"/>
      <c r="N44" s="84"/>
      <c r="O44" s="84"/>
      <c r="P44" s="84"/>
      <c r="Q44" s="84"/>
      <c r="R44" s="84"/>
      <c r="S44" s="84"/>
      <c r="T44" s="84"/>
      <c r="U44" s="84"/>
      <c r="V44" s="84"/>
      <c r="W44" s="84"/>
      <c r="X44" s="84"/>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86"/>
      <c r="F45" s="86" t="s">
        <v>0</v>
      </c>
      <c r="G45" s="86" t="s">
        <v>0</v>
      </c>
      <c r="H45" s="84"/>
      <c r="I45" s="84"/>
      <c r="J45" s="84"/>
      <c r="K45" s="84"/>
      <c r="L45" s="84"/>
      <c r="M45" s="84"/>
      <c r="N45" s="84"/>
      <c r="O45" s="84"/>
      <c r="P45" s="84"/>
      <c r="Q45" s="84"/>
      <c r="R45" s="84"/>
      <c r="S45" s="84"/>
      <c r="T45" s="84"/>
      <c r="U45" s="84"/>
      <c r="V45" s="84"/>
      <c r="W45" s="84"/>
      <c r="X45" s="84"/>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7" t="s">
        <v>53</v>
      </c>
      <c r="E46" s="86"/>
      <c r="F46" s="86"/>
      <c r="G46" s="86" t="s">
        <v>0</v>
      </c>
      <c r="H46" s="84"/>
      <c r="I46" s="84"/>
      <c r="J46" s="84"/>
      <c r="K46" s="84"/>
      <c r="L46" s="84"/>
      <c r="M46" s="84"/>
      <c r="N46" s="84"/>
      <c r="O46" s="84"/>
      <c r="P46" s="84"/>
      <c r="Q46" s="84"/>
      <c r="R46" s="84"/>
      <c r="S46" s="84"/>
      <c r="T46" s="84"/>
      <c r="U46" s="84"/>
      <c r="V46" s="84"/>
      <c r="W46" s="84"/>
      <c r="X46" s="84"/>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32" t="s">
        <v>4</v>
      </c>
      <c r="E47" s="86" t="s">
        <v>0</v>
      </c>
      <c r="F47" s="86"/>
      <c r="G47" s="86"/>
      <c r="H47" s="84"/>
      <c r="I47" s="84"/>
      <c r="J47" s="84"/>
      <c r="K47" s="84"/>
      <c r="L47" s="84"/>
      <c r="M47" s="84"/>
      <c r="N47" s="84"/>
      <c r="O47" s="84"/>
      <c r="P47" s="84"/>
      <c r="Q47" s="84"/>
      <c r="R47" s="84"/>
      <c r="S47" s="84"/>
      <c r="T47" s="84"/>
      <c r="U47" s="84"/>
      <c r="V47" s="84"/>
      <c r="W47" s="84"/>
      <c r="X47" s="84"/>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91" t="s">
        <v>172</v>
      </c>
      <c r="E48" s="86"/>
      <c r="F48" s="86"/>
      <c r="G48" s="86"/>
      <c r="H48" s="84">
        <v>1</v>
      </c>
      <c r="I48" s="84"/>
      <c r="J48" s="84"/>
      <c r="K48" s="84"/>
      <c r="L48" s="84"/>
      <c r="M48" s="84"/>
      <c r="N48" s="84"/>
      <c r="O48" s="84"/>
      <c r="P48" s="84"/>
      <c r="Q48" s="84"/>
      <c r="R48" s="84"/>
      <c r="S48" s="84"/>
      <c r="T48" s="84"/>
      <c r="U48" s="84"/>
      <c r="V48" s="84"/>
      <c r="W48" s="84"/>
      <c r="X48" s="84"/>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56"/>
      <c r="E49" s="86"/>
      <c r="F49" s="86"/>
      <c r="G49" s="86"/>
      <c r="H49" s="84"/>
      <c r="I49" s="84"/>
      <c r="J49" s="84"/>
      <c r="K49" s="84"/>
      <c r="L49" s="84"/>
      <c r="M49" s="84"/>
      <c r="N49" s="84"/>
      <c r="O49" s="84"/>
      <c r="P49" s="84"/>
      <c r="Q49" s="84"/>
      <c r="R49" s="84"/>
      <c r="S49" s="84"/>
      <c r="T49" s="84"/>
      <c r="U49" s="84"/>
      <c r="V49" s="84"/>
      <c r="W49" s="84"/>
      <c r="X49" s="84"/>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ht="28.8" x14ac:dyDescent="0.3">
      <c r="B50" s="20">
        <v>7</v>
      </c>
      <c r="C50" s="8">
        <f t="shared" si="2"/>
        <v>64</v>
      </c>
      <c r="D50" s="49"/>
      <c r="E50" s="90" t="s">
        <v>49</v>
      </c>
      <c r="F50" s="90" t="s">
        <v>50</v>
      </c>
      <c r="G50" s="90" t="s">
        <v>51</v>
      </c>
      <c r="H50" s="90" t="s">
        <v>159</v>
      </c>
      <c r="I50" s="84"/>
      <c r="J50" s="84"/>
      <c r="K50" s="84"/>
      <c r="L50" s="84"/>
      <c r="M50" s="84"/>
      <c r="N50" s="84"/>
      <c r="O50" s="84"/>
      <c r="P50" s="84"/>
      <c r="Q50" s="84"/>
      <c r="R50" s="84"/>
      <c r="S50" s="84"/>
      <c r="T50" s="84"/>
      <c r="U50" s="84"/>
      <c r="V50" s="84"/>
      <c r="W50" s="84"/>
      <c r="X50" s="84"/>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49"/>
      <c r="E51" s="86"/>
      <c r="F51" s="86"/>
      <c r="G51" s="86"/>
      <c r="H51" s="84"/>
      <c r="I51" s="84"/>
      <c r="J51" s="84"/>
      <c r="K51" s="84"/>
      <c r="L51" s="84"/>
      <c r="M51" s="84"/>
      <c r="N51" s="84"/>
      <c r="O51" s="84"/>
      <c r="P51" s="84"/>
      <c r="Q51" s="84"/>
      <c r="R51" s="84"/>
      <c r="S51" s="84"/>
      <c r="T51" s="84"/>
      <c r="U51" s="84"/>
      <c r="V51" s="84"/>
      <c r="W51" s="84"/>
      <c r="X51" s="84"/>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56"/>
      <c r="E52" s="62"/>
      <c r="F52" s="86"/>
      <c r="G52" s="86"/>
      <c r="H52" s="84"/>
      <c r="I52" s="84"/>
      <c r="J52" s="84"/>
      <c r="K52" s="84"/>
      <c r="L52" s="84"/>
      <c r="M52" s="84"/>
      <c r="N52" s="84"/>
      <c r="O52" s="84"/>
      <c r="P52" s="84"/>
      <c r="Q52" s="84"/>
      <c r="R52" s="84"/>
      <c r="S52" s="84"/>
      <c r="T52" s="84"/>
      <c r="U52" s="84"/>
      <c r="V52" s="84"/>
      <c r="W52" s="84"/>
      <c r="X52" s="84"/>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49"/>
      <c r="E53" s="84"/>
      <c r="F53" s="84"/>
      <c r="G53" s="84"/>
      <c r="H53" s="84"/>
      <c r="I53" s="84"/>
      <c r="J53" s="84"/>
      <c r="K53" s="84"/>
      <c r="L53" s="84"/>
      <c r="M53" s="84"/>
      <c r="N53" s="84"/>
      <c r="O53" s="84"/>
      <c r="P53" s="84"/>
      <c r="Q53" s="84"/>
      <c r="R53" s="84"/>
      <c r="S53" s="84"/>
      <c r="T53" s="84"/>
      <c r="U53" s="84"/>
      <c r="V53" s="84"/>
      <c r="W53" s="84"/>
      <c r="X53" s="84"/>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49"/>
      <c r="E54" s="86"/>
      <c r="F54" s="86"/>
      <c r="G54" s="86"/>
      <c r="H54" s="84"/>
      <c r="I54" s="84"/>
      <c r="J54" s="84"/>
      <c r="K54" s="84"/>
      <c r="L54" s="84"/>
      <c r="M54" s="84"/>
      <c r="N54" s="84"/>
      <c r="O54" s="84"/>
      <c r="P54" s="84"/>
      <c r="Q54" s="84"/>
      <c r="R54" s="84"/>
      <c r="S54" s="84"/>
      <c r="T54" s="84"/>
      <c r="U54" s="84"/>
      <c r="V54" s="84"/>
      <c r="W54" s="84"/>
      <c r="X54" s="84"/>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56"/>
      <c r="E55" s="86"/>
      <c r="F55" s="86"/>
      <c r="G55" s="86"/>
      <c r="H55" s="84"/>
      <c r="I55" s="84"/>
      <c r="J55" s="84"/>
      <c r="K55" s="84"/>
      <c r="L55" s="84"/>
      <c r="M55" s="84"/>
      <c r="N55" s="84"/>
      <c r="O55" s="84"/>
      <c r="P55" s="84"/>
      <c r="Q55" s="84"/>
      <c r="R55" s="84"/>
      <c r="S55" s="84"/>
      <c r="T55" s="84"/>
      <c r="U55" s="84"/>
      <c r="V55" s="84"/>
      <c r="W55" s="84"/>
      <c r="X55" s="84"/>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49"/>
      <c r="E56" s="86"/>
      <c r="F56" s="86"/>
      <c r="G56" s="86"/>
      <c r="H56" s="86"/>
      <c r="I56" s="86"/>
      <c r="J56" s="86"/>
      <c r="K56" s="86"/>
      <c r="L56" s="86"/>
      <c r="M56" s="86"/>
      <c r="N56" s="86"/>
      <c r="O56" s="86"/>
      <c r="P56" s="86"/>
      <c r="Q56" s="86"/>
      <c r="R56" s="86"/>
      <c r="S56" s="86"/>
      <c r="T56" s="86"/>
      <c r="U56" s="86"/>
      <c r="V56" s="86"/>
      <c r="W56" s="86"/>
      <c r="X56" s="86"/>
      <c r="Y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49"/>
      <c r="E57" s="86"/>
      <c r="F57" s="86"/>
      <c r="G57" s="86"/>
      <c r="H57" s="86"/>
      <c r="I57" s="86"/>
      <c r="J57" s="86"/>
      <c r="K57" s="86"/>
      <c r="L57" s="86"/>
      <c r="M57" s="86"/>
      <c r="N57" s="86"/>
      <c r="O57" s="86"/>
      <c r="P57" s="86"/>
      <c r="Q57" s="86"/>
      <c r="R57" s="86"/>
      <c r="S57" s="86"/>
      <c r="T57" s="86"/>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56"/>
      <c r="E58" s="86"/>
      <c r="F58" s="86"/>
      <c r="G58" s="86"/>
      <c r="H58" s="86"/>
      <c r="I58" s="86"/>
      <c r="J58" s="86"/>
      <c r="K58" s="86"/>
      <c r="L58" s="86"/>
      <c r="M58" s="86"/>
      <c r="N58" s="86"/>
      <c r="O58" s="86"/>
      <c r="P58" s="86"/>
      <c r="Q58" s="86"/>
      <c r="R58" s="86"/>
      <c r="S58" s="86"/>
      <c r="T58" s="86"/>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49"/>
      <c r="E59" s="86"/>
      <c r="F59" s="86"/>
      <c r="G59" s="86"/>
      <c r="H59" s="86"/>
      <c r="I59" s="86"/>
      <c r="J59" s="86"/>
      <c r="K59" s="86"/>
      <c r="L59" s="86"/>
      <c r="M59" s="86"/>
      <c r="N59" s="86"/>
      <c r="O59" s="86"/>
      <c r="P59" s="86"/>
      <c r="Q59" s="86"/>
      <c r="R59" s="86"/>
      <c r="S59" s="86"/>
      <c r="T59" s="86"/>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49"/>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56"/>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87"/>
      <c r="E62" s="89"/>
      <c r="F62" s="89"/>
      <c r="G62" s="89"/>
      <c r="H62" s="89"/>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87"/>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86"/>
      <c r="F66" s="86"/>
      <c r="G66" s="86"/>
      <c r="H66" s="86"/>
      <c r="I66" s="86"/>
      <c r="J66" s="86"/>
      <c r="K66" s="86"/>
      <c r="L66" s="86"/>
      <c r="M66" s="86"/>
      <c r="N66" s="86"/>
      <c r="O66" s="86"/>
      <c r="P66" s="86"/>
      <c r="Q66" s="86"/>
      <c r="R66" s="86"/>
      <c r="S66" s="86"/>
      <c r="T66" s="86"/>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86"/>
      <c r="F68" s="86"/>
      <c r="G68" s="86"/>
      <c r="H68" s="86"/>
      <c r="I68" s="86"/>
      <c r="J68" s="86"/>
      <c r="K68" s="86"/>
      <c r="L68" s="86"/>
      <c r="M68" s="86"/>
      <c r="N68" s="86"/>
      <c r="O68" s="86"/>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86"/>
      <c r="F77" s="86"/>
      <c r="G77" s="86"/>
      <c r="H77" s="86"/>
      <c r="I77" s="94"/>
      <c r="J77" s="95"/>
      <c r="K77" s="86"/>
      <c r="L77" s="86"/>
      <c r="M77" s="86"/>
      <c r="N77" s="8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link="1"/>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64" priority="17">
      <formula>$E$5&gt;=ROW(B44)-ROW($B$43)</formula>
    </cfRule>
  </conditionalFormatting>
  <conditionalFormatting sqref="B78:BH153 B77:I77 K77:BH77 AA56:BH56 E56:Y56 B62:BH76 B44:C61 E57:BH61 E44:BH55">
    <cfRule type="expression" dxfId="63" priority="16">
      <formula>$E$5&gt;=ROW(B44)-ROW($B$43)</formula>
    </cfRule>
  </conditionalFormatting>
  <conditionalFormatting sqref="E40:F41">
    <cfRule type="expression" dxfId="62" priority="8">
      <formula>$E$40&gt;2000</formula>
    </cfRule>
    <cfRule type="expression" dxfId="61" priority="9">
      <formula>$E$40&gt;2000</formula>
    </cfRule>
    <cfRule type="expression" dxfId="60" priority="10">
      <formula>$E$40&gt;2000</formula>
    </cfRule>
    <cfRule type="expression" dxfId="59" priority="11">
      <formula>$E$40&gt;2000</formula>
    </cfRule>
    <cfRule type="expression" dxfId="58" priority="12">
      <formula>$E$40&gt;2000</formula>
    </cfRule>
    <cfRule type="expression" dxfId="57" priority="13">
      <formula>$E$40&gt;2000</formula>
    </cfRule>
    <cfRule type="expression" dxfId="56" priority="14">
      <formula>$E$40&gt;2000</formula>
    </cfRule>
    <cfRule type="expression" dxfId="55" priority="15">
      <formula>$E$40&gt;2000</formula>
    </cfRule>
  </conditionalFormatting>
  <conditionalFormatting sqref="D47:D49">
    <cfRule type="expression" dxfId="54" priority="7">
      <formula>$E$5&gt;=ROW(D47)-ROW($B$39)</formula>
    </cfRule>
  </conditionalFormatting>
  <conditionalFormatting sqref="D50:D52">
    <cfRule type="expression" dxfId="53" priority="6">
      <formula>$E$5&gt;=ROW(D50)-ROW($B$39)</formula>
    </cfRule>
  </conditionalFormatting>
  <conditionalFormatting sqref="D53:D55">
    <cfRule type="expression" dxfId="52" priority="5">
      <formula>$E$5&gt;=ROW(D53)-ROW($B$39)</formula>
    </cfRule>
  </conditionalFormatting>
  <conditionalFormatting sqref="D56:D58">
    <cfRule type="expression" dxfId="51" priority="4">
      <formula>$E$5&gt;=ROW(D56)-ROW($B$39)</formula>
    </cfRule>
  </conditionalFormatting>
  <conditionalFormatting sqref="D59:D61">
    <cfRule type="expression" dxfId="50" priority="3">
      <formula>$E$5&gt;=ROW(D59)-ROW($B$39)</formula>
    </cfRule>
  </conditionalFormatting>
  <conditionalFormatting sqref="D44:D45">
    <cfRule type="expression" dxfId="49" priority="2">
      <formula>$E$5&gt;=ROW(D44)-ROW($B$39)</formula>
    </cfRule>
  </conditionalFormatting>
  <conditionalFormatting sqref="D46">
    <cfRule type="expression" dxfId="48" priority="1">
      <formula>$E$5&gt;=ROW(D46)-ROW($B$39)</formula>
    </cfRule>
  </conditionalFormatting>
  <dataValidations count="8">
    <dataValidation type="decimal" allowBlank="1" showErrorMessage="1" errorTitle="Falscher Wert" error="&quot;Bits pro Wert&quot; muss zwischen 1 und 8 liegen" sqref="E6:F6" xr:uid="{31CD815E-D298-4213-B111-2C69D5A3CB55}">
      <formula1>1</formula1>
      <formula2>8</formula2>
    </dataValidation>
    <dataValidation type="whole" allowBlank="1" showInputMessage="1" showErrorMessage="1" errorTitle="Falscher Wert" error="&quot;Wert Min&quot; muss zwischen 0 und 255 liegen" sqref="E7:F7" xr:uid="{4DE4A143-DAC6-4EB0-8F77-B36DF46B37A5}">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6DEB746E-962F-48B4-A8AE-3918BF69CD4C}">
      <formula1>OR(ISTEXT(E2),AND(IF(ISERROR(ROUND(VALUE(E2),0)),FALSE,ROUND(VALUE(E2),0)=E2),E2&gt;=0,E2&lt;=255))</formula1>
    </dataValidation>
    <dataValidation type="whole" allowBlank="1" showInputMessage="1" showErrorMessage="1" errorTitle="Falscher Wert" error="Der Startkanal muss zwischen 0 und 2 liegen" sqref="E3:F3" xr:uid="{604AD59D-C37D-492F-86A5-FF490A26A97E}">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F1446D98-0092-4089-B492-A2E7D53366EA}">
      <formula1>OR(ISTEXT(E4),AND(IF(ISERROR(ROUND(VALUE(E4),0)),FALSE,ROUND(VALUE(E4),0)=E4),E4&gt;=0,E4&lt;=255))</formula1>
    </dataValidation>
    <dataValidation type="whole" allowBlank="1" showInputMessage="1" showErrorMessage="1" errorTitle="Falscher Wert" error="&quot;Wert ausgeschaltet&quot; muss zwischen 0 und 255 liegen." sqref="E9:F9" xr:uid="{CC6EBB2A-5C2D-4568-94CE-B9C5CD9F27A6}">
      <formula1>0</formula1>
      <formula2>255</formula2>
    </dataValidation>
    <dataValidation type="whole" allowBlank="1" showInputMessage="1" showErrorMessage="1" errorTitle="Falscher Wert" error="&quot;Wert Max&quot; mus zwischen 0 und 255 liegen" sqref="E8:F8" xr:uid="{0FBDF60A-B693-475C-B545-13FD00AC6212}">
      <formula1>0</formula1>
      <formula2>255</formula2>
    </dataValidation>
    <dataValidation type="whole" allowBlank="1" showInputMessage="1" showErrorMessage="1" errorTitle="Falscher Wert" error="Die Anzahl der Ausgabekanäle muss zwischen 1 und 765 liegen" sqref="E5:F5" xr:uid="{097EDCFB-0252-4A42-B1A4-87A966644F31}">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20DAA-9106-470C-84CE-0BA308EF0469}">
  <sheetPr codeName="Tabelle31"/>
  <dimension ref="A1:GM143"/>
  <sheetViews>
    <sheetView showGridLines="0" topLeftCell="A16" workbookViewId="0">
      <selection activeCell="E17" sqref="E17"/>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1</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9</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128</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t="s">
        <v>48</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v>1</v>
      </c>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XPatternT1(1,160,SI_LocalVar,9,0,128,0,0,500 ms,64,4,104,0  ,63,191,191)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166</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_Entry_Signal3_RGB(LED)                       XPatternT1(LED,160,SI_LocalVar,9,0,128,0,0,500 ms,64,4,104,0  ,63,191,191)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_Entry_Signal3_RGB_StCh(LED,StCh)     XPatternT1(LED,StCh+160,SI_LocalVar,9,0,128,0,0,500 ms,64,4,104,0  ,63,191,191)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131</v>
      </c>
      <c r="E29" s="14" t="str">
        <f>IF(Goto_Mode=1,"SI_LocalVar",SchalterNr)</f>
        <v>SI_LocalVar</v>
      </c>
      <c r="G29" s="81" t="s">
        <v>132</v>
      </c>
      <c r="H29" s="2" t="str">
        <f>IF(Goto_Mode=1,"",",InNr")</f>
        <v/>
      </c>
      <c r="I29" s="81" t="s">
        <v>133</v>
      </c>
      <c r="J29" s="14" t="str">
        <f>IF(Goto_Mode=1,"SI_LocalVar","InNr")</f>
        <v>SI_LocalVar</v>
      </c>
      <c r="L29" s="81"/>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160</v>
      </c>
      <c r="F30" s="2" t="str">
        <f>DEC2BIN(E30,8)</f>
        <v>10100000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160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5:,64,4,104,0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5</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,64,4,104,0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x14ac:dyDescent="0.3">
      <c r="D35" s="17" t="s">
        <v>129</v>
      </c>
      <c r="E35" s="14" t="str">
        <f>Calculate_Goto(Kanaele,E12,E41:EV41,E44:EV298)</f>
        <v xml:space="preserve">  ,63,191,191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9,0,128,0,0,500 ms,64,4,104,0  ,63,191,191)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_Entry_Signal3_RGB(LED,NStru,InNr)    XPatternT1(LED,NStru,InNr,9,0,128,0,0,500 ms,64,4,104,0  ,63,191,191)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4</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80">
        <f>E38+TimerBytes+DataBytes</f>
        <v>17</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70" customFormat="1" ht="12" customHeight="1" x14ac:dyDescent="0.3">
      <c r="A41"/>
      <c r="B41" s="92" t="s">
        <v>157</v>
      </c>
      <c r="C41" s="93"/>
      <c r="D41" s="93"/>
      <c r="E41" s="71" t="s">
        <v>128</v>
      </c>
      <c r="F41" s="72" t="s">
        <v>156</v>
      </c>
      <c r="G41" s="72" t="s">
        <v>156</v>
      </c>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row>
    <row r="42" spans="1:193" ht="12" customHeight="1" x14ac:dyDescent="0.3">
      <c r="D42" s="5" t="str">
        <f>IF(COUNTA(E44:AJ51)=0,"Bitte Tabelle ausfüllen. Positionen an denen die LEDs leuchten sollen werden mit einem Zeichen (z.B. x) markiert. Bei einer leeren Zellen ist die LED aus.","")</f>
        <v/>
      </c>
      <c r="E42" s="77"/>
      <c r="F42" s="77"/>
      <c r="G42" s="77"/>
      <c r="H42" s="77"/>
      <c r="I42" s="77"/>
      <c r="J42" s="77"/>
      <c r="K42" s="77"/>
      <c r="L42" s="77"/>
      <c r="M42" s="77"/>
      <c r="N42" s="77"/>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row>
    <row r="43" spans="1:193" ht="15" customHeight="1" x14ac:dyDescent="0.3">
      <c r="B43" s="9" t="s">
        <v>8</v>
      </c>
      <c r="C43" s="7"/>
      <c r="D43" s="10" t="s">
        <v>122</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78"/>
      <c r="F44" s="78"/>
      <c r="G44" s="78"/>
      <c r="H44" s="84"/>
      <c r="I44" s="84"/>
      <c r="J44" s="84"/>
      <c r="K44" s="84"/>
      <c r="L44" s="84"/>
      <c r="M44" s="84"/>
      <c r="N44" s="84"/>
      <c r="O44" s="84"/>
      <c r="P44" s="84"/>
      <c r="Q44" s="84"/>
      <c r="R44" s="84"/>
      <c r="S44" s="84"/>
      <c r="T44" s="84"/>
      <c r="U44" s="84"/>
      <c r="V44" s="84"/>
      <c r="W44" s="84"/>
      <c r="X44" s="84"/>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78"/>
      <c r="F45" s="78" t="s">
        <v>0</v>
      </c>
      <c r="G45" s="78" t="s">
        <v>0</v>
      </c>
      <c r="H45" s="84"/>
      <c r="I45" s="84"/>
      <c r="J45" s="84"/>
      <c r="K45" s="84"/>
      <c r="L45" s="84"/>
      <c r="M45" s="84"/>
      <c r="N45" s="84"/>
      <c r="O45" s="84"/>
      <c r="P45" s="84"/>
      <c r="Q45" s="84"/>
      <c r="R45" s="84"/>
      <c r="S45" s="84"/>
      <c r="T45" s="84"/>
      <c r="U45" s="84"/>
      <c r="V45" s="84"/>
      <c r="W45" s="84"/>
      <c r="X45" s="84"/>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5" t="s">
        <v>53</v>
      </c>
      <c r="E46" s="78"/>
      <c r="F46" s="78"/>
      <c r="G46" s="78"/>
      <c r="H46" s="84"/>
      <c r="I46" s="84"/>
      <c r="J46" s="84"/>
      <c r="K46" s="84"/>
      <c r="L46" s="84"/>
      <c r="M46" s="84"/>
      <c r="N46" s="84"/>
      <c r="O46" s="84"/>
      <c r="P46" s="84"/>
      <c r="Q46" s="84"/>
      <c r="R46" s="84"/>
      <c r="S46" s="84"/>
      <c r="T46" s="84"/>
      <c r="U46" s="84"/>
      <c r="V46" s="84"/>
      <c r="W46" s="84"/>
      <c r="X46" s="84"/>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78"/>
      <c r="BF46" s="78"/>
      <c r="BG46" s="78"/>
      <c r="BH46" s="78"/>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32" t="s">
        <v>4</v>
      </c>
      <c r="E47" s="78"/>
      <c r="F47" s="78"/>
      <c r="G47" s="78" t="s">
        <v>0</v>
      </c>
      <c r="H47" s="84"/>
      <c r="I47" s="84"/>
      <c r="J47" s="84"/>
      <c r="K47" s="84"/>
      <c r="L47" s="84"/>
      <c r="M47" s="84"/>
      <c r="N47" s="84"/>
      <c r="O47" s="84"/>
      <c r="P47" s="84"/>
      <c r="Q47" s="84"/>
      <c r="R47" s="84"/>
      <c r="S47" s="84"/>
      <c r="T47" s="84"/>
      <c r="U47" s="84"/>
      <c r="V47" s="84"/>
      <c r="W47" s="84"/>
      <c r="X47" s="84"/>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8"/>
      <c r="AY47" s="78"/>
      <c r="AZ47" s="78"/>
      <c r="BA47" s="78"/>
      <c r="BB47" s="78"/>
      <c r="BC47" s="78"/>
      <c r="BD47" s="78"/>
      <c r="BE47" s="78"/>
      <c r="BF47" s="78"/>
      <c r="BG47" s="78"/>
      <c r="BH47" s="78"/>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34" t="s">
        <v>6</v>
      </c>
      <c r="E48" s="78"/>
      <c r="F48" s="78"/>
      <c r="G48" s="78" t="s">
        <v>0</v>
      </c>
      <c r="H48" s="84"/>
      <c r="I48" s="84"/>
      <c r="J48" s="84"/>
      <c r="K48" s="84"/>
      <c r="L48" s="84"/>
      <c r="M48" s="84"/>
      <c r="N48" s="84"/>
      <c r="O48" s="84"/>
      <c r="P48" s="84"/>
      <c r="Q48" s="84"/>
      <c r="R48" s="84"/>
      <c r="S48" s="84"/>
      <c r="T48" s="84"/>
      <c r="U48" s="84"/>
      <c r="V48" s="84"/>
      <c r="W48" s="84"/>
      <c r="X48" s="84"/>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8"/>
      <c r="AY48" s="78"/>
      <c r="AZ48" s="78"/>
      <c r="BA48" s="78"/>
      <c r="BB48" s="78"/>
      <c r="BC48" s="78"/>
      <c r="BD48" s="78"/>
      <c r="BE48" s="78"/>
      <c r="BF48" s="78"/>
      <c r="BG48" s="78"/>
      <c r="BH48" s="78"/>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55" t="s">
        <v>54</v>
      </c>
      <c r="E49" s="78"/>
      <c r="F49" s="78"/>
      <c r="G49" s="78"/>
      <c r="H49" s="84"/>
      <c r="I49" s="84"/>
      <c r="J49" s="84"/>
      <c r="K49" s="84"/>
      <c r="L49" s="84"/>
      <c r="M49" s="84"/>
      <c r="N49" s="84"/>
      <c r="O49" s="84"/>
      <c r="P49" s="84"/>
      <c r="Q49" s="84"/>
      <c r="R49" s="84"/>
      <c r="S49" s="84"/>
      <c r="T49" s="84"/>
      <c r="U49" s="84"/>
      <c r="V49" s="84"/>
      <c r="W49" s="84"/>
      <c r="X49" s="84"/>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8"/>
      <c r="AY49" s="78"/>
      <c r="AZ49" s="78"/>
      <c r="BA49" s="78"/>
      <c r="BB49" s="78"/>
      <c r="BC49" s="78"/>
      <c r="BD49" s="78"/>
      <c r="BE49" s="78"/>
      <c r="BF49" s="78"/>
      <c r="BG49" s="78"/>
      <c r="BH49" s="78"/>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32" t="s">
        <v>57</v>
      </c>
      <c r="E50" s="78" t="s">
        <v>0</v>
      </c>
      <c r="F50" s="78"/>
      <c r="G50" s="78"/>
      <c r="H50" s="84"/>
      <c r="I50" s="84"/>
      <c r="J50" s="84"/>
      <c r="K50" s="84"/>
      <c r="L50" s="84"/>
      <c r="M50" s="84"/>
      <c r="N50" s="84"/>
      <c r="O50" s="84"/>
      <c r="P50" s="84"/>
      <c r="Q50" s="84"/>
      <c r="R50" s="84"/>
      <c r="S50" s="84"/>
      <c r="T50" s="84"/>
      <c r="U50" s="84"/>
      <c r="V50" s="84"/>
      <c r="W50" s="84"/>
      <c r="X50" s="84"/>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34" t="s">
        <v>56</v>
      </c>
      <c r="E51" s="78"/>
      <c r="F51" s="78"/>
      <c r="G51" s="78"/>
      <c r="H51" s="84"/>
      <c r="I51" s="84"/>
      <c r="J51" s="84"/>
      <c r="K51" s="84"/>
      <c r="L51" s="84"/>
      <c r="M51" s="84"/>
      <c r="N51" s="84"/>
      <c r="O51" s="84"/>
      <c r="P51" s="84"/>
      <c r="Q51" s="84"/>
      <c r="R51" s="84"/>
      <c r="S51" s="84"/>
      <c r="T51" s="84"/>
      <c r="U51" s="84"/>
      <c r="V51" s="84"/>
      <c r="W51" s="84"/>
      <c r="X51" s="84"/>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55" t="s">
        <v>55</v>
      </c>
      <c r="E52" s="62"/>
      <c r="F52" s="78"/>
      <c r="G52" s="78"/>
      <c r="H52" s="84"/>
      <c r="I52" s="84"/>
      <c r="J52" s="84"/>
      <c r="K52" s="84"/>
      <c r="L52" s="84"/>
      <c r="M52" s="84"/>
      <c r="N52" s="84"/>
      <c r="O52" s="84"/>
      <c r="P52" s="84"/>
      <c r="Q52" s="84"/>
      <c r="R52" s="84"/>
      <c r="S52" s="84"/>
      <c r="T52" s="84"/>
      <c r="U52" s="84"/>
      <c r="V52" s="84"/>
      <c r="W52" s="84"/>
      <c r="X52" s="84"/>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8"/>
      <c r="E53" s="78" t="s">
        <v>49</v>
      </c>
      <c r="F53" s="78" t="s">
        <v>50</v>
      </c>
      <c r="G53" s="78" t="s">
        <v>51</v>
      </c>
      <c r="H53" s="84"/>
      <c r="I53" s="84"/>
      <c r="J53" s="84"/>
      <c r="K53" s="84"/>
      <c r="L53" s="84"/>
      <c r="M53" s="84"/>
      <c r="N53" s="84"/>
      <c r="O53" s="84"/>
      <c r="P53" s="84"/>
      <c r="Q53" s="84"/>
      <c r="R53" s="84"/>
      <c r="S53" s="84"/>
      <c r="T53" s="84"/>
      <c r="U53" s="84"/>
      <c r="V53" s="84"/>
      <c r="W53" s="84"/>
      <c r="X53" s="84"/>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8"/>
      <c r="E54" s="78"/>
      <c r="F54" s="78"/>
      <c r="G54" s="78"/>
      <c r="H54" s="84"/>
      <c r="I54" s="84"/>
      <c r="J54" s="84"/>
      <c r="K54" s="84"/>
      <c r="L54" s="84"/>
      <c r="M54" s="84"/>
      <c r="N54" s="84"/>
      <c r="O54" s="84"/>
      <c r="P54" s="84"/>
      <c r="Q54" s="84"/>
      <c r="R54" s="84"/>
      <c r="S54" s="84"/>
      <c r="T54" s="84"/>
      <c r="U54" s="84"/>
      <c r="V54" s="84"/>
      <c r="W54" s="84"/>
      <c r="X54" s="84"/>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8"/>
      <c r="E55" s="78"/>
      <c r="F55" s="78"/>
      <c r="G55" s="78"/>
      <c r="H55" s="84"/>
      <c r="I55" s="84"/>
      <c r="J55" s="84"/>
      <c r="K55" s="84"/>
      <c r="L55" s="84"/>
      <c r="M55" s="84"/>
      <c r="N55" s="84"/>
      <c r="O55" s="84"/>
      <c r="P55" s="84"/>
      <c r="Q55" s="84"/>
      <c r="R55" s="84"/>
      <c r="S55" s="84"/>
      <c r="T55" s="84"/>
      <c r="U55" s="84"/>
      <c r="V55" s="84"/>
      <c r="W55" s="84"/>
      <c r="X55" s="84"/>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79"/>
      <c r="E56" s="78"/>
      <c r="F56" s="78"/>
      <c r="G56" s="78"/>
      <c r="H56" s="78"/>
      <c r="I56" s="78"/>
      <c r="J56" s="78"/>
      <c r="K56" s="78"/>
      <c r="L56" s="78"/>
      <c r="M56" s="78"/>
      <c r="N56" s="78"/>
      <c r="O56" s="78"/>
      <c r="P56" s="78"/>
      <c r="Q56" s="78"/>
      <c r="R56" s="78"/>
      <c r="S56" s="78"/>
      <c r="T56" s="78"/>
      <c r="U56" s="78"/>
      <c r="V56" s="78"/>
      <c r="W56" s="78"/>
      <c r="X56" s="78"/>
      <c r="Y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78"/>
      <c r="AI57" s="78"/>
      <c r="AJ57" s="78"/>
      <c r="AK57" s="78"/>
      <c r="AL57" s="78"/>
      <c r="AM57" s="78"/>
      <c r="AN57" s="78"/>
      <c r="AO57" s="78"/>
      <c r="AP57" s="78"/>
      <c r="AQ57" s="78"/>
      <c r="AR57" s="78"/>
      <c r="AS57" s="78"/>
      <c r="AT57" s="78"/>
      <c r="AU57" s="78"/>
      <c r="AV57" s="78"/>
      <c r="AW57" s="78"/>
      <c r="AX57" s="78"/>
      <c r="AY57" s="78"/>
      <c r="AZ57" s="78"/>
      <c r="BA57" s="78"/>
      <c r="BB57" s="78"/>
      <c r="BC57" s="78"/>
      <c r="BD57" s="78"/>
      <c r="BE57" s="78"/>
      <c r="BF57" s="78"/>
      <c r="BG57" s="78"/>
      <c r="BH57" s="78"/>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79"/>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c r="AW58" s="78"/>
      <c r="AX58" s="78"/>
      <c r="AY58" s="78"/>
      <c r="AZ58" s="78"/>
      <c r="BA58" s="78"/>
      <c r="BB58" s="78"/>
      <c r="BC58" s="78"/>
      <c r="BD58" s="78"/>
      <c r="BE58" s="78"/>
      <c r="BF58" s="78"/>
      <c r="BG58" s="78"/>
      <c r="BH58" s="78"/>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79"/>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c r="AW59" s="78"/>
      <c r="AX59" s="78"/>
      <c r="AY59" s="78"/>
      <c r="AZ59" s="78"/>
      <c r="BA59" s="78"/>
      <c r="BB59" s="78"/>
      <c r="BC59" s="78"/>
      <c r="BD59" s="78"/>
      <c r="BE59" s="78"/>
      <c r="BF59" s="78"/>
      <c r="BG59" s="78"/>
      <c r="BH59" s="78"/>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79"/>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c r="AO60" s="78"/>
      <c r="AP60" s="78"/>
      <c r="AQ60" s="78"/>
      <c r="AR60" s="78"/>
      <c r="AS60" s="78"/>
      <c r="AT60" s="78"/>
      <c r="AU60" s="78"/>
      <c r="AV60" s="78"/>
      <c r="AW60" s="78"/>
      <c r="AX60" s="78"/>
      <c r="AY60" s="78"/>
      <c r="AZ60" s="78"/>
      <c r="BA60" s="78"/>
      <c r="BB60" s="78"/>
      <c r="BC60" s="78"/>
      <c r="BD60" s="78"/>
      <c r="BE60" s="78"/>
      <c r="BF60" s="78"/>
      <c r="BG60" s="78"/>
      <c r="BH60" s="78"/>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79"/>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78"/>
      <c r="AI61" s="78"/>
      <c r="AJ61" s="78"/>
      <c r="AK61" s="78"/>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9"/>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78"/>
      <c r="AI62" s="78"/>
      <c r="AJ62" s="78"/>
      <c r="AK62" s="78"/>
      <c r="AL62" s="78"/>
      <c r="AM62" s="78"/>
      <c r="AN62" s="78"/>
      <c r="AO62" s="78"/>
      <c r="AP62" s="78"/>
      <c r="AQ62" s="78"/>
      <c r="AR62" s="78"/>
      <c r="AS62" s="78"/>
      <c r="AT62" s="78"/>
      <c r="AU62" s="78"/>
      <c r="AV62" s="78"/>
      <c r="AW62" s="78"/>
      <c r="AX62" s="78"/>
      <c r="AY62" s="78"/>
      <c r="AZ62" s="78"/>
      <c r="BA62" s="78"/>
      <c r="BB62" s="78"/>
      <c r="BC62" s="78"/>
      <c r="BD62" s="78"/>
      <c r="BE62" s="78"/>
      <c r="BF62" s="78"/>
      <c r="BG62" s="78"/>
      <c r="BH62" s="78"/>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9"/>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c r="AO63" s="78"/>
      <c r="AP63" s="78"/>
      <c r="AQ63" s="78"/>
      <c r="AR63" s="78"/>
      <c r="AS63" s="78"/>
      <c r="AT63" s="78"/>
      <c r="AU63" s="78"/>
      <c r="AV63" s="78"/>
      <c r="AW63" s="78"/>
      <c r="AX63" s="78"/>
      <c r="AY63" s="78"/>
      <c r="AZ63" s="78"/>
      <c r="BA63" s="78"/>
      <c r="BB63" s="78"/>
      <c r="BC63" s="78"/>
      <c r="BD63" s="78"/>
      <c r="BE63" s="78"/>
      <c r="BF63" s="78"/>
      <c r="BG63" s="78"/>
      <c r="BH63" s="78"/>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c r="AO64" s="78"/>
      <c r="AP64" s="78"/>
      <c r="AQ64" s="78"/>
      <c r="AR64" s="78"/>
      <c r="AS64" s="78"/>
      <c r="AT64" s="78"/>
      <c r="AU64" s="78"/>
      <c r="AV64" s="78"/>
      <c r="AW64" s="78"/>
      <c r="AX64" s="78"/>
      <c r="AY64" s="78"/>
      <c r="AZ64" s="78"/>
      <c r="BA64" s="78"/>
      <c r="BB64" s="78"/>
      <c r="BC64" s="78"/>
      <c r="BD64" s="78"/>
      <c r="BE64" s="78"/>
      <c r="BF64" s="78"/>
      <c r="BG64" s="78"/>
      <c r="BH64" s="78"/>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78"/>
      <c r="AI65" s="78"/>
      <c r="AJ65" s="78"/>
      <c r="AK65" s="78"/>
      <c r="AL65" s="78"/>
      <c r="AM65" s="78"/>
      <c r="AN65" s="78"/>
      <c r="AO65" s="78"/>
      <c r="AP65" s="78"/>
      <c r="AQ65" s="78"/>
      <c r="AR65" s="78"/>
      <c r="AS65" s="78"/>
      <c r="AT65" s="78"/>
      <c r="AU65" s="78"/>
      <c r="AV65" s="78"/>
      <c r="AW65" s="78"/>
      <c r="AX65" s="78"/>
      <c r="AY65" s="78"/>
      <c r="AZ65" s="78"/>
      <c r="BA65" s="78"/>
      <c r="BB65" s="78"/>
      <c r="BC65" s="78"/>
      <c r="BD65" s="78"/>
      <c r="BE65" s="78"/>
      <c r="BF65" s="78"/>
      <c r="BG65" s="78"/>
      <c r="BH65" s="78"/>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78"/>
      <c r="AI66" s="78"/>
      <c r="AJ66" s="78"/>
      <c r="AK66" s="78"/>
      <c r="AL66" s="78"/>
      <c r="AM66" s="78"/>
      <c r="AN66" s="78"/>
      <c r="AO66" s="78"/>
      <c r="AP66" s="78"/>
      <c r="AQ66" s="78"/>
      <c r="AR66" s="78"/>
      <c r="AS66" s="78"/>
      <c r="AT66" s="78"/>
      <c r="AU66" s="78"/>
      <c r="AV66" s="78"/>
      <c r="AW66" s="78"/>
      <c r="AX66" s="78"/>
      <c r="AY66" s="78"/>
      <c r="AZ66" s="78"/>
      <c r="BA66" s="78"/>
      <c r="BB66" s="78"/>
      <c r="BC66" s="78"/>
      <c r="BD66" s="78"/>
      <c r="BE66" s="78"/>
      <c r="BF66" s="78"/>
      <c r="BG66" s="78"/>
      <c r="BH66" s="78"/>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78"/>
      <c r="AI67" s="78"/>
      <c r="AJ67" s="78"/>
      <c r="AK67" s="78"/>
      <c r="AL67" s="78"/>
      <c r="AM67" s="78"/>
      <c r="AN67" s="78"/>
      <c r="AO67" s="78"/>
      <c r="AP67" s="78"/>
      <c r="AQ67" s="78"/>
      <c r="AR67" s="78"/>
      <c r="AS67" s="78"/>
      <c r="AT67" s="78"/>
      <c r="AU67" s="78"/>
      <c r="AV67" s="78"/>
      <c r="AW67" s="78"/>
      <c r="AX67" s="78"/>
      <c r="AY67" s="78"/>
      <c r="AZ67" s="78"/>
      <c r="BA67" s="78"/>
      <c r="BB67" s="78"/>
      <c r="BC67" s="78"/>
      <c r="BD67" s="78"/>
      <c r="BE67" s="78"/>
      <c r="BF67" s="78"/>
      <c r="BG67" s="78"/>
      <c r="BH67" s="78"/>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78"/>
      <c r="AI68" s="78"/>
      <c r="AJ68" s="78"/>
      <c r="AK68" s="78"/>
      <c r="AL68" s="78"/>
      <c r="AM68" s="78"/>
      <c r="AN68" s="78"/>
      <c r="AO68" s="78"/>
      <c r="AP68" s="78"/>
      <c r="AQ68" s="78"/>
      <c r="AR68" s="78"/>
      <c r="AS68" s="78"/>
      <c r="AT68" s="78"/>
      <c r="AU68" s="78"/>
      <c r="AV68" s="78"/>
      <c r="AW68" s="78"/>
      <c r="AX68" s="78"/>
      <c r="AY68" s="78"/>
      <c r="AZ68" s="78"/>
      <c r="BA68" s="78"/>
      <c r="BB68" s="78"/>
      <c r="BC68" s="78"/>
      <c r="BD68" s="78"/>
      <c r="BE68" s="78"/>
      <c r="BF68" s="78"/>
      <c r="BG68" s="78"/>
      <c r="BH68" s="78"/>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c r="AV69" s="78"/>
      <c r="AW69" s="78"/>
      <c r="AX69" s="78"/>
      <c r="AY69" s="78"/>
      <c r="AZ69" s="78"/>
      <c r="BA69" s="78"/>
      <c r="BB69" s="78"/>
      <c r="BC69" s="78"/>
      <c r="BD69" s="78"/>
      <c r="BE69" s="78"/>
      <c r="BF69" s="78"/>
      <c r="BG69" s="78"/>
      <c r="BH69" s="78"/>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78"/>
      <c r="AI70" s="78"/>
      <c r="AJ70" s="78"/>
      <c r="AK70" s="78"/>
      <c r="AL70" s="78"/>
      <c r="AM70" s="78"/>
      <c r="AN70" s="78"/>
      <c r="AO70" s="78"/>
      <c r="AP70" s="78"/>
      <c r="AQ70" s="78"/>
      <c r="AR70" s="78"/>
      <c r="AS70" s="78"/>
      <c r="AT70" s="78"/>
      <c r="AU70" s="78"/>
      <c r="AV70" s="78"/>
      <c r="AW70" s="78"/>
      <c r="AX70" s="78"/>
      <c r="AY70" s="78"/>
      <c r="AZ70" s="78"/>
      <c r="BA70" s="78"/>
      <c r="BB70" s="78"/>
      <c r="BC70" s="78"/>
      <c r="BD70" s="78"/>
      <c r="BE70" s="78"/>
      <c r="BF70" s="78"/>
      <c r="BG70" s="78"/>
      <c r="BH70" s="78"/>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78"/>
      <c r="AI71" s="78"/>
      <c r="AJ71" s="78"/>
      <c r="AK71" s="78"/>
      <c r="AL71" s="78"/>
      <c r="AM71" s="78"/>
      <c r="AN71" s="78"/>
      <c r="AO71" s="78"/>
      <c r="AP71" s="78"/>
      <c r="AQ71" s="78"/>
      <c r="AR71" s="78"/>
      <c r="AS71" s="78"/>
      <c r="AT71" s="78"/>
      <c r="AU71" s="78"/>
      <c r="AV71" s="78"/>
      <c r="AW71" s="78"/>
      <c r="AX71" s="78"/>
      <c r="AY71" s="78"/>
      <c r="AZ71" s="78"/>
      <c r="BA71" s="78"/>
      <c r="BB71" s="78"/>
      <c r="BC71" s="78"/>
      <c r="BD71" s="78"/>
      <c r="BE71" s="78"/>
      <c r="BF71" s="78"/>
      <c r="BG71" s="78"/>
      <c r="BH71" s="78"/>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78"/>
      <c r="AI72" s="78"/>
      <c r="AJ72" s="78"/>
      <c r="AK72" s="78"/>
      <c r="AL72" s="78"/>
      <c r="AM72" s="78"/>
      <c r="AN72" s="78"/>
      <c r="AO72" s="78"/>
      <c r="AP72" s="78"/>
      <c r="AQ72" s="78"/>
      <c r="AR72" s="78"/>
      <c r="AS72" s="78"/>
      <c r="AT72" s="78"/>
      <c r="AU72" s="78"/>
      <c r="AV72" s="78"/>
      <c r="AW72" s="78"/>
      <c r="AX72" s="78"/>
      <c r="AY72" s="78"/>
      <c r="AZ72" s="78"/>
      <c r="BA72" s="78"/>
      <c r="BB72" s="78"/>
      <c r="BC72" s="78"/>
      <c r="BD72" s="78"/>
      <c r="BE72" s="78"/>
      <c r="BF72" s="78"/>
      <c r="BG72" s="78"/>
      <c r="BH72" s="78"/>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8"/>
      <c r="F73" s="78"/>
      <c r="G73" s="78"/>
      <c r="H73" s="78"/>
      <c r="I73" s="78"/>
      <c r="J73" s="78"/>
      <c r="K73" s="78"/>
      <c r="L73" s="78"/>
      <c r="M73" s="78"/>
      <c r="N73" s="78"/>
      <c r="O73" s="78"/>
      <c r="P73" s="78"/>
      <c r="Q73" s="78"/>
      <c r="R73" s="78"/>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8"/>
      <c r="AT73" s="78"/>
      <c r="AU73" s="78"/>
      <c r="AV73" s="78"/>
      <c r="AW73" s="78"/>
      <c r="AX73" s="78"/>
      <c r="AY73" s="78"/>
      <c r="AZ73" s="78"/>
      <c r="BA73" s="78"/>
      <c r="BB73" s="78"/>
      <c r="BC73" s="78"/>
      <c r="BD73" s="78"/>
      <c r="BE73" s="78"/>
      <c r="BF73" s="78"/>
      <c r="BG73" s="78"/>
      <c r="BH73" s="78"/>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8"/>
      <c r="F74" s="78"/>
      <c r="G74" s="78"/>
      <c r="H74" s="78"/>
      <c r="I74" s="78"/>
      <c r="J74" s="78"/>
      <c r="K74" s="78"/>
      <c r="L74" s="78"/>
      <c r="M74" s="78"/>
      <c r="N74" s="78"/>
      <c r="O74" s="78"/>
      <c r="P74" s="78"/>
      <c r="Q74" s="78"/>
      <c r="R74" s="78"/>
      <c r="S74" s="78"/>
      <c r="T74" s="78"/>
      <c r="U74" s="78"/>
      <c r="V74" s="78"/>
      <c r="W74" s="78"/>
      <c r="X74" s="78"/>
      <c r="Y74" s="78"/>
      <c r="Z74" s="78"/>
      <c r="AA74" s="78"/>
      <c r="AB74" s="78"/>
      <c r="AC74" s="78"/>
      <c r="AD74" s="78"/>
      <c r="AE74" s="78"/>
      <c r="AF74" s="78"/>
      <c r="AG74" s="78"/>
      <c r="AH74" s="78"/>
      <c r="AI74" s="78"/>
      <c r="AJ74" s="78"/>
      <c r="AK74" s="78"/>
      <c r="AL74" s="78"/>
      <c r="AM74" s="78"/>
      <c r="AN74" s="78"/>
      <c r="AO74" s="78"/>
      <c r="AP74" s="78"/>
      <c r="AQ74" s="78"/>
      <c r="AR74" s="78"/>
      <c r="AS74" s="78"/>
      <c r="AT74" s="78"/>
      <c r="AU74" s="78"/>
      <c r="AV74" s="78"/>
      <c r="AW74" s="78"/>
      <c r="AX74" s="78"/>
      <c r="AY74" s="78"/>
      <c r="AZ74" s="78"/>
      <c r="BA74" s="78"/>
      <c r="BB74" s="78"/>
      <c r="BC74" s="78"/>
      <c r="BD74" s="78"/>
      <c r="BE74" s="78"/>
      <c r="BF74" s="78"/>
      <c r="BG74" s="78"/>
      <c r="BH74" s="78"/>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8"/>
      <c r="F75" s="78"/>
      <c r="G75" s="78"/>
      <c r="H75" s="78"/>
      <c r="I75" s="78"/>
      <c r="J75" s="78"/>
      <c r="K75" s="78"/>
      <c r="L75" s="78"/>
      <c r="M75" s="78"/>
      <c r="N75" s="78"/>
      <c r="O75" s="78"/>
      <c r="P75" s="78"/>
      <c r="Q75" s="78"/>
      <c r="R75" s="78"/>
      <c r="S75" s="78"/>
      <c r="T75" s="78"/>
      <c r="U75" s="78"/>
      <c r="V75" s="78"/>
      <c r="W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78"/>
      <c r="AV75" s="78"/>
      <c r="AW75" s="78"/>
      <c r="AX75" s="78"/>
      <c r="AY75" s="78"/>
      <c r="AZ75" s="78"/>
      <c r="BA75" s="78"/>
      <c r="BB75" s="78"/>
      <c r="BC75" s="78"/>
      <c r="BD75" s="78"/>
      <c r="BE75" s="78"/>
      <c r="BF75" s="78"/>
      <c r="BG75" s="78"/>
      <c r="BH75" s="78"/>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c r="AW76" s="78"/>
      <c r="AX76" s="78"/>
      <c r="AY76" s="78"/>
      <c r="AZ76" s="78"/>
      <c r="BA76" s="78"/>
      <c r="BB76" s="78"/>
      <c r="BC76" s="78"/>
      <c r="BD76" s="78"/>
      <c r="BE76" s="78"/>
      <c r="BF76" s="78"/>
      <c r="BG76" s="78"/>
      <c r="BH76" s="78"/>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8"/>
      <c r="F77" s="78"/>
      <c r="G77" s="78"/>
      <c r="H77" s="78"/>
      <c r="I77" s="94"/>
      <c r="J77" s="95"/>
      <c r="K77" s="78"/>
      <c r="L77" s="78"/>
      <c r="M77" s="78"/>
      <c r="N77" s="78"/>
      <c r="O77" s="78"/>
      <c r="P77" s="78"/>
      <c r="Q77" s="78"/>
      <c r="R77" s="78"/>
      <c r="S77" s="78"/>
      <c r="T77" s="78"/>
      <c r="U77" s="78"/>
      <c r="V77" s="78"/>
      <c r="W77" s="78"/>
      <c r="X77" s="78"/>
      <c r="Y77" s="78"/>
      <c r="Z77" s="78"/>
      <c r="AA77" s="78"/>
      <c r="AB77" s="78"/>
      <c r="AC77" s="78"/>
      <c r="AD77" s="78"/>
      <c r="AE77" s="78"/>
      <c r="AF77" s="78"/>
      <c r="AG77" s="78"/>
      <c r="AH77" s="78"/>
      <c r="AI77" s="78"/>
      <c r="AJ77" s="78"/>
      <c r="AK77" s="78"/>
      <c r="AL77" s="78"/>
      <c r="AM77" s="78"/>
      <c r="AN77" s="78"/>
      <c r="AO77" s="78"/>
      <c r="AP77" s="78"/>
      <c r="AQ77" s="78"/>
      <c r="AR77" s="78"/>
      <c r="AS77" s="78"/>
      <c r="AT77" s="78"/>
      <c r="AU77" s="78"/>
      <c r="AV77" s="78"/>
      <c r="AW77" s="78"/>
      <c r="AX77" s="78"/>
      <c r="AY77" s="78"/>
      <c r="AZ77" s="78"/>
      <c r="BA77" s="78"/>
      <c r="BB77" s="78"/>
      <c r="BC77" s="78"/>
      <c r="BD77" s="78"/>
      <c r="BE77" s="78"/>
      <c r="BF77" s="78"/>
      <c r="BG77" s="78"/>
      <c r="BH77" s="78"/>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8"/>
      <c r="F78" s="78"/>
      <c r="G78" s="78"/>
      <c r="H78" s="78"/>
      <c r="I78" s="78"/>
      <c r="J78" s="78"/>
      <c r="K78" s="78"/>
      <c r="L78" s="78"/>
      <c r="M78" s="78"/>
      <c r="N78" s="78"/>
      <c r="O78" s="78"/>
      <c r="P78" s="78"/>
      <c r="Q78" s="78"/>
      <c r="R78" s="78"/>
      <c r="S78" s="78"/>
      <c r="T78" s="78"/>
      <c r="U78" s="78"/>
      <c r="V78" s="78"/>
      <c r="W78" s="78"/>
      <c r="X78" s="78"/>
      <c r="Y78" s="78"/>
      <c r="Z78" s="78"/>
      <c r="AA78" s="78"/>
      <c r="AB78" s="78"/>
      <c r="AC78" s="78"/>
      <c r="AD78" s="78"/>
      <c r="AE78" s="78"/>
      <c r="AF78" s="78"/>
      <c r="AG78" s="78"/>
      <c r="AH78" s="78"/>
      <c r="AI78" s="78"/>
      <c r="AJ78" s="78"/>
      <c r="AK78" s="78"/>
      <c r="AL78" s="78"/>
      <c r="AM78" s="78"/>
      <c r="AN78" s="78"/>
      <c r="AO78" s="78"/>
      <c r="AP78" s="78"/>
      <c r="AQ78" s="78"/>
      <c r="AR78" s="78"/>
      <c r="AS78" s="78"/>
      <c r="AT78" s="78"/>
      <c r="AU78" s="78"/>
      <c r="AV78" s="78"/>
      <c r="AW78" s="78"/>
      <c r="AX78" s="78"/>
      <c r="AY78" s="78"/>
      <c r="AZ78" s="78"/>
      <c r="BA78" s="78"/>
      <c r="BB78" s="78"/>
      <c r="BC78" s="78"/>
      <c r="BD78" s="78"/>
      <c r="BE78" s="78"/>
      <c r="BF78" s="78"/>
      <c r="BG78" s="78"/>
      <c r="BH78" s="78"/>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78"/>
      <c r="AF79" s="78"/>
      <c r="AG79" s="78"/>
      <c r="AH79" s="78"/>
      <c r="AI79" s="78"/>
      <c r="AJ79" s="78"/>
      <c r="AK79" s="78"/>
      <c r="AL79" s="78"/>
      <c r="AM79" s="78"/>
      <c r="AN79" s="78"/>
      <c r="AO79" s="78"/>
      <c r="AP79" s="78"/>
      <c r="AQ79" s="78"/>
      <c r="AR79" s="78"/>
      <c r="AS79" s="78"/>
      <c r="AT79" s="78"/>
      <c r="AU79" s="78"/>
      <c r="AV79" s="78"/>
      <c r="AW79" s="78"/>
      <c r="AX79" s="78"/>
      <c r="AY79" s="78"/>
      <c r="AZ79" s="78"/>
      <c r="BA79" s="78"/>
      <c r="BB79" s="78"/>
      <c r="BC79" s="78"/>
      <c r="BD79" s="78"/>
      <c r="BE79" s="78"/>
      <c r="BF79" s="78"/>
      <c r="BG79" s="78"/>
      <c r="BH79" s="78"/>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8"/>
      <c r="F80" s="78"/>
      <c r="G80" s="78"/>
      <c r="H80" s="78"/>
      <c r="I80" s="78"/>
      <c r="J80" s="78"/>
      <c r="K80" s="78"/>
      <c r="L80" s="78"/>
      <c r="M80" s="78"/>
      <c r="N80" s="78"/>
      <c r="O80" s="78"/>
      <c r="P80" s="78"/>
      <c r="Q80" s="78"/>
      <c r="R80" s="78"/>
      <c r="S80" s="78"/>
      <c r="T80" s="78"/>
      <c r="U80" s="78"/>
      <c r="V80" s="78"/>
      <c r="W80" s="78"/>
      <c r="X80" s="78"/>
      <c r="Y80" s="78"/>
      <c r="Z80" s="78"/>
      <c r="AA80" s="78"/>
      <c r="AB80" s="78"/>
      <c r="AC80" s="78"/>
      <c r="AD80" s="78"/>
      <c r="AE80" s="78"/>
      <c r="AF80" s="78"/>
      <c r="AG80" s="78"/>
      <c r="AH80" s="78"/>
      <c r="AI80" s="78"/>
      <c r="AJ80" s="78"/>
      <c r="AK80" s="78"/>
      <c r="AL80" s="78"/>
      <c r="AM80" s="78"/>
      <c r="AN80" s="78"/>
      <c r="AO80" s="78"/>
      <c r="AP80" s="78"/>
      <c r="AQ80" s="78"/>
      <c r="AR80" s="78"/>
      <c r="AS80" s="78"/>
      <c r="AT80" s="78"/>
      <c r="AU80" s="78"/>
      <c r="AV80" s="78"/>
      <c r="AW80" s="78"/>
      <c r="AX80" s="78"/>
      <c r="AY80" s="78"/>
      <c r="AZ80" s="78"/>
      <c r="BA80" s="78"/>
      <c r="BB80" s="78"/>
      <c r="BC80" s="78"/>
      <c r="BD80" s="78"/>
      <c r="BE80" s="78"/>
      <c r="BF80" s="78"/>
      <c r="BG80" s="78"/>
      <c r="BH80" s="78"/>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8"/>
      <c r="F81" s="78"/>
      <c r="G81" s="78"/>
      <c r="H81" s="78"/>
      <c r="I81" s="78"/>
      <c r="J81" s="78"/>
      <c r="K81" s="78"/>
      <c r="L81" s="78"/>
      <c r="M81" s="78"/>
      <c r="N81" s="78"/>
      <c r="O81" s="78"/>
      <c r="P81" s="78"/>
      <c r="Q81" s="78"/>
      <c r="R81" s="78"/>
      <c r="S81" s="78"/>
      <c r="T81" s="78"/>
      <c r="U81" s="78"/>
      <c r="V81" s="78"/>
      <c r="W81" s="78"/>
      <c r="X81" s="78"/>
      <c r="Y81" s="78"/>
      <c r="Z81" s="78"/>
      <c r="AA81" s="78"/>
      <c r="AB81" s="78"/>
      <c r="AC81" s="78"/>
      <c r="AD81" s="78"/>
      <c r="AE81" s="78"/>
      <c r="AF81" s="78"/>
      <c r="AG81" s="78"/>
      <c r="AH81" s="78"/>
      <c r="AI81" s="78"/>
      <c r="AJ81" s="78"/>
      <c r="AK81" s="78"/>
      <c r="AL81" s="78"/>
      <c r="AM81" s="78"/>
      <c r="AN81" s="78"/>
      <c r="AO81" s="78"/>
      <c r="AP81" s="78"/>
      <c r="AQ81" s="78"/>
      <c r="AR81" s="78"/>
      <c r="AS81" s="78"/>
      <c r="AT81" s="78"/>
      <c r="AU81" s="78"/>
      <c r="AV81" s="78"/>
      <c r="AW81" s="78"/>
      <c r="AX81" s="78"/>
      <c r="AY81" s="78"/>
      <c r="AZ81" s="78"/>
      <c r="BA81" s="78"/>
      <c r="BB81" s="78"/>
      <c r="BC81" s="78"/>
      <c r="BD81" s="78"/>
      <c r="BE81" s="78"/>
      <c r="BF81" s="78"/>
      <c r="BG81" s="78"/>
      <c r="BH81" s="78"/>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78"/>
      <c r="AF82" s="78"/>
      <c r="AG82" s="78"/>
      <c r="AH82" s="78"/>
      <c r="AI82" s="78"/>
      <c r="AJ82" s="78"/>
      <c r="AK82" s="78"/>
      <c r="AL82" s="78"/>
      <c r="AM82" s="78"/>
      <c r="AN82" s="78"/>
      <c r="AO82" s="78"/>
      <c r="AP82" s="78"/>
      <c r="AQ82" s="78"/>
      <c r="AR82" s="78"/>
      <c r="AS82" s="78"/>
      <c r="AT82" s="78"/>
      <c r="AU82" s="78"/>
      <c r="AV82" s="78"/>
      <c r="AW82" s="78"/>
      <c r="AX82" s="78"/>
      <c r="AY82" s="78"/>
      <c r="AZ82" s="78"/>
      <c r="BA82" s="78"/>
      <c r="BB82" s="78"/>
      <c r="BC82" s="78"/>
      <c r="BD82" s="78"/>
      <c r="BE82" s="78"/>
      <c r="BF82" s="78"/>
      <c r="BG82" s="78"/>
      <c r="BH82" s="78"/>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8"/>
      <c r="F83" s="78"/>
      <c r="G83" s="78"/>
      <c r="H83" s="78"/>
      <c r="I83" s="78"/>
      <c r="J83" s="78"/>
      <c r="K83" s="78"/>
      <c r="L83" s="78"/>
      <c r="M83" s="78"/>
      <c r="N83" s="78"/>
      <c r="O83" s="78"/>
      <c r="P83" s="78"/>
      <c r="Q83" s="78"/>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c r="AQ83" s="78"/>
      <c r="AR83" s="78"/>
      <c r="AS83" s="78"/>
      <c r="AT83" s="78"/>
      <c r="AU83" s="78"/>
      <c r="AV83" s="78"/>
      <c r="AW83" s="78"/>
      <c r="AX83" s="78"/>
      <c r="AY83" s="78"/>
      <c r="AZ83" s="78"/>
      <c r="BA83" s="78"/>
      <c r="BB83" s="78"/>
      <c r="BC83" s="78"/>
      <c r="BD83" s="78"/>
      <c r="BE83" s="78"/>
      <c r="BF83" s="78"/>
      <c r="BG83" s="78"/>
      <c r="BH83" s="78"/>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link="1"/>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47" priority="14">
      <formula>$E$5&gt;=ROW(B44)-ROW($B$43)</formula>
    </cfRule>
  </conditionalFormatting>
  <conditionalFormatting sqref="B78:BH153 B77:I77 K77:BH77 B57:BH76 AA56:BH56 B56:Y56 B44:C52 E44:BH52 B53:BH55">
    <cfRule type="expression" dxfId="46" priority="13">
      <formula>$E$5&gt;=ROW(B44)-ROW($B$43)</formula>
    </cfRule>
  </conditionalFormatting>
  <conditionalFormatting sqref="E40:F41">
    <cfRule type="expression" dxfId="45" priority="5">
      <formula>$E$40&gt;2000</formula>
    </cfRule>
    <cfRule type="expression" dxfId="44" priority="6">
      <formula>$E$40&gt;2000</formula>
    </cfRule>
    <cfRule type="expression" dxfId="43" priority="7">
      <formula>$E$40&gt;2000</formula>
    </cfRule>
    <cfRule type="expression" dxfId="42" priority="8">
      <formula>$E$40&gt;2000</formula>
    </cfRule>
    <cfRule type="expression" dxfId="41" priority="9">
      <formula>$E$40&gt;2000</formula>
    </cfRule>
    <cfRule type="expression" dxfId="40" priority="10">
      <formula>$E$40&gt;2000</formula>
    </cfRule>
    <cfRule type="expression" dxfId="39" priority="11">
      <formula>$E$40&gt;2000</formula>
    </cfRule>
    <cfRule type="expression" dxfId="38" priority="12">
      <formula>$E$40&gt;2000</formula>
    </cfRule>
  </conditionalFormatting>
  <conditionalFormatting sqref="D44:D49">
    <cfRule type="expression" dxfId="37" priority="2">
      <formula>$E$5&gt;=ROW(D44)-ROW($B$39)</formula>
    </cfRule>
  </conditionalFormatting>
  <conditionalFormatting sqref="D50:D52">
    <cfRule type="expression" dxfId="36" priority="1">
      <formula>$E$5&gt;=ROW(D50)-ROW($B$39)</formula>
    </cfRule>
  </conditionalFormatting>
  <dataValidations count="8">
    <dataValidation type="decimal" allowBlank="1" showErrorMessage="1" errorTitle="Falscher Wert" error="&quot;Bits pro Wert&quot; muss zwischen 1 und 8 liegen" sqref="E6:F6" xr:uid="{9ECD309B-ADBF-4D90-9D1D-9BBC31045239}">
      <formula1>1</formula1>
      <formula2>8</formula2>
    </dataValidation>
    <dataValidation type="whole" allowBlank="1" showInputMessage="1" showErrorMessage="1" errorTitle="Falscher Wert" error="&quot;Wert Min&quot; muss zwischen 0 und 255 liegen" sqref="E7:F7" xr:uid="{85CBED59-E9F4-494A-A404-AA61B6532F21}">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64148D3-22B2-4E05-BEC4-1262DED9A5AA}">
      <formula1>OR(ISTEXT(E2),AND(IF(ISERROR(ROUND(VALUE(E2),0)),FALSE,ROUND(VALUE(E2),0)=E2),E2&gt;=0,E2&lt;=255))</formula1>
    </dataValidation>
    <dataValidation type="whole" allowBlank="1" showInputMessage="1" showErrorMessage="1" errorTitle="Falscher Wert" error="Der Startkanal muss zwischen 0 und 2 liegen" sqref="E3:F3" xr:uid="{4F1CE273-E716-4F60-9B2D-1CEFFC007A4B}">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262C239-5E80-46FC-A31D-09D02D2CC29A}">
      <formula1>OR(ISTEXT(E4),AND(IF(ISERROR(ROUND(VALUE(E4),0)),FALSE,ROUND(VALUE(E4),0)=E4),E4&gt;=0,E4&lt;=255))</formula1>
    </dataValidation>
    <dataValidation type="whole" allowBlank="1" showInputMessage="1" showErrorMessage="1" errorTitle="Falscher Wert" error="&quot;Wert ausgeschaltet&quot; muss zwischen 0 und 255 liegen." sqref="E9:F9" xr:uid="{B642AA23-B174-44E8-9598-99B66769CD6F}">
      <formula1>0</formula1>
      <formula2>255</formula2>
    </dataValidation>
    <dataValidation type="whole" allowBlank="1" showInputMessage="1" showErrorMessage="1" errorTitle="Falscher Wert" error="&quot;Wert Max&quot; mus zwischen 0 und 255 liegen" sqref="E8:F8" xr:uid="{C0C6527A-2DB8-43BB-B391-6A8B3CD99EFB}">
      <formula1>0</formula1>
      <formula2>255</formula2>
    </dataValidation>
    <dataValidation type="whole" allowBlank="1" showInputMessage="1" showErrorMessage="1" errorTitle="Falscher Wert" error="Die Anzahl der Ausgabekanäle muss zwischen 1 und 765 liegen" sqref="E5:F5" xr:uid="{55DD1698-43A4-4449-A197-8F67140A99D4}">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BAA31-AEBA-4ACB-9006-C3B0B72EF5FE}">
  <sheetPr codeName="Tabelle27"/>
  <dimension ref="A1:GM143"/>
  <sheetViews>
    <sheetView showGridLines="0" workbookViewId="0">
      <selection activeCell="A35" sqref="A35:XFD3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1</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3</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128</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v>0</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120</v>
      </c>
      <c r="E11" s="96" t="s">
        <v>48</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119</v>
      </c>
      <c r="E12" s="96">
        <v>1</v>
      </c>
      <c r="F12" s="9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XPatternT1(1,224,SI_LocalVar,3,0,128,0,0,500 ms,145,1  ,63,191,191)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96" t="s">
        <v>167</v>
      </c>
      <c r="F16" s="9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_Entry_Signal3(LED)                       XPatternT1(LED,224,SI_LocalVar,3,0,128,0,0,500 ms,145,1  ,63,191,191)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_Entry_Signal3_StCh(LED,StCh)     XPatternT1(LED,StCh+224,SI_LocalVar,3,0,128,0,0,500 ms,145,1  ,63,191,191)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46</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131</v>
      </c>
      <c r="E29" s="14" t="str">
        <f>IF(Goto_Mode=1,"SI_LocalVar",SchalterNr)</f>
        <v>SI_LocalVar</v>
      </c>
      <c r="G29" s="81" t="s">
        <v>132</v>
      </c>
      <c r="H29" s="2" t="str">
        <f>IF(Goto_Mode=1,"",",InNr")</f>
        <v/>
      </c>
      <c r="I29" s="81" t="s">
        <v>133</v>
      </c>
      <c r="J29" s="14" t="str">
        <f>IF(Goto_Mode=1,"SI_LocalVar","InNr")</f>
        <v>SI_LocalVar</v>
      </c>
      <c r="L29" s="81"/>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224</v>
      </c>
      <c r="F30" s="2" t="str">
        <f>DEC2BIN(E30,8)</f>
        <v>11100000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224</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7:,145,1</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7</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,145,1</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129</v>
      </c>
      <c r="E35" s="14" t="str">
        <f>Calculate_Goto(Kanaele,E12,E41:EV41,E44:EV298)</f>
        <v xml:space="preserve">  ,63,191,191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3,0,128,0,0,500 ms,145,1  ,63,191,191)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_Entry_Signal3(LED,NStru,InNr)    XPatternT1(LED,NStru,InNr,3,0,128,0,0,500 ms,145,1  ,63,191,191)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2</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80">
        <f>E38+TimerBytes+DataBytes</f>
        <v>15</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70" customFormat="1" ht="12" customHeight="1" x14ac:dyDescent="0.3">
      <c r="A41"/>
      <c r="B41" s="92" t="s">
        <v>157</v>
      </c>
      <c r="C41" s="93"/>
      <c r="D41" s="93"/>
      <c r="E41" s="71" t="s">
        <v>128</v>
      </c>
      <c r="F41" s="72" t="s">
        <v>156</v>
      </c>
      <c r="G41" s="72" t="s">
        <v>156</v>
      </c>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row>
    <row r="42" spans="1:193" ht="12" customHeight="1" x14ac:dyDescent="0.3">
      <c r="D42" s="5" t="str">
        <f>IF(COUNTA(E44:AJ51)=0,"Bitte Tabelle ausfüllen. Positionen an denen die LEDs leuchten sollen werden mit einem Zeichen (z.B. x) markiert. Bei einer leeren Zellen ist die LED aus.","")</f>
        <v/>
      </c>
      <c r="E42" s="77"/>
      <c r="F42" s="77"/>
      <c r="G42" s="77"/>
      <c r="H42" s="77"/>
      <c r="I42" s="77"/>
      <c r="J42" s="77"/>
      <c r="K42" s="77"/>
      <c r="L42" s="77"/>
      <c r="M42" s="77"/>
      <c r="N42" s="77"/>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row>
    <row r="43" spans="1:193" ht="15" customHeight="1" x14ac:dyDescent="0.3">
      <c r="B43" s="9" t="s">
        <v>8</v>
      </c>
      <c r="C43" s="7"/>
      <c r="D43" s="10" t="s">
        <v>122</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78" t="s">
        <v>0</v>
      </c>
      <c r="F44" s="78"/>
      <c r="G44" s="78"/>
      <c r="H44" s="84"/>
      <c r="I44" s="84"/>
      <c r="J44" s="84"/>
      <c r="K44" s="84"/>
      <c r="L44" s="84"/>
      <c r="M44" s="84"/>
      <c r="N44" s="84"/>
      <c r="O44" s="84"/>
      <c r="P44" s="84"/>
      <c r="Q44" s="84"/>
      <c r="R44" s="84"/>
      <c r="S44" s="84"/>
      <c r="T44" s="84"/>
      <c r="U44" s="84"/>
      <c r="V44" s="84"/>
      <c r="W44" s="84"/>
      <c r="X44" s="84"/>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78"/>
      <c r="F45" s="78" t="s">
        <v>0</v>
      </c>
      <c r="G45" s="78" t="s">
        <v>0</v>
      </c>
      <c r="H45" s="84"/>
      <c r="I45" s="84"/>
      <c r="J45" s="84"/>
      <c r="K45" s="84"/>
      <c r="L45" s="84"/>
      <c r="M45" s="84"/>
      <c r="N45" s="84"/>
      <c r="O45" s="84"/>
      <c r="P45" s="84"/>
      <c r="Q45" s="84"/>
      <c r="R45" s="84"/>
      <c r="S45" s="84"/>
      <c r="T45" s="84"/>
      <c r="U45" s="84"/>
      <c r="V45" s="84"/>
      <c r="W45" s="84"/>
      <c r="X45" s="84"/>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7" t="s">
        <v>53</v>
      </c>
      <c r="E46" s="78"/>
      <c r="F46" s="78"/>
      <c r="G46" s="78" t="s">
        <v>0</v>
      </c>
      <c r="H46" s="84"/>
      <c r="I46" s="84"/>
      <c r="J46" s="84"/>
      <c r="K46" s="84"/>
      <c r="L46" s="84"/>
      <c r="M46" s="84"/>
      <c r="N46" s="84"/>
      <c r="O46" s="84"/>
      <c r="P46" s="84"/>
      <c r="Q46" s="84"/>
      <c r="R46" s="84"/>
      <c r="S46" s="84"/>
      <c r="T46" s="84"/>
      <c r="U46" s="84"/>
      <c r="V46" s="84"/>
      <c r="W46" s="84"/>
      <c r="X46" s="84"/>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78"/>
      <c r="BF46" s="78"/>
      <c r="BG46" s="78"/>
      <c r="BH46" s="78"/>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78"/>
      <c r="E47" s="78" t="s">
        <v>49</v>
      </c>
      <c r="F47" s="78" t="s">
        <v>50</v>
      </c>
      <c r="G47" s="78" t="s">
        <v>51</v>
      </c>
      <c r="H47" s="84"/>
      <c r="I47" s="84"/>
      <c r="J47" s="84"/>
      <c r="K47" s="84"/>
      <c r="L47" s="84"/>
      <c r="M47" s="84"/>
      <c r="N47" s="84"/>
      <c r="O47" s="84"/>
      <c r="P47" s="84"/>
      <c r="Q47" s="84"/>
      <c r="R47" s="84"/>
      <c r="S47" s="84"/>
      <c r="T47" s="84"/>
      <c r="U47" s="84"/>
      <c r="V47" s="84"/>
      <c r="W47" s="84"/>
      <c r="X47" s="84"/>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8"/>
      <c r="AY47" s="78"/>
      <c r="AZ47" s="78"/>
      <c r="BA47" s="78"/>
      <c r="BB47" s="78"/>
      <c r="BC47" s="78"/>
      <c r="BD47" s="78"/>
      <c r="BE47" s="78"/>
      <c r="BF47" s="78"/>
      <c r="BG47" s="78"/>
      <c r="BH47" s="78"/>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78"/>
      <c r="E48" s="78"/>
      <c r="F48" s="78"/>
      <c r="G48" s="78"/>
      <c r="H48" s="84"/>
      <c r="I48" s="84"/>
      <c r="J48" s="84"/>
      <c r="K48" s="84"/>
      <c r="L48" s="84"/>
      <c r="M48" s="84"/>
      <c r="N48" s="84"/>
      <c r="O48" s="84"/>
      <c r="P48" s="84"/>
      <c r="Q48" s="84"/>
      <c r="R48" s="84"/>
      <c r="S48" s="84"/>
      <c r="T48" s="84"/>
      <c r="U48" s="84"/>
      <c r="V48" s="84"/>
      <c r="W48" s="84"/>
      <c r="X48" s="84"/>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8"/>
      <c r="AY48" s="78"/>
      <c r="AZ48" s="78"/>
      <c r="BA48" s="78"/>
      <c r="BB48" s="78"/>
      <c r="BC48" s="78"/>
      <c r="BD48" s="78"/>
      <c r="BE48" s="78"/>
      <c r="BF48" s="78"/>
      <c r="BG48" s="78"/>
      <c r="BH48" s="78"/>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78"/>
      <c r="E49" s="78"/>
      <c r="F49" s="78"/>
      <c r="G49" s="78"/>
      <c r="H49" s="84"/>
      <c r="I49" s="84"/>
      <c r="J49" s="84"/>
      <c r="K49" s="84"/>
      <c r="L49" s="84"/>
      <c r="M49" s="84"/>
      <c r="N49" s="84"/>
      <c r="O49" s="84"/>
      <c r="P49" s="84"/>
      <c r="Q49" s="84"/>
      <c r="R49" s="84"/>
      <c r="S49" s="84"/>
      <c r="T49" s="84"/>
      <c r="U49" s="84"/>
      <c r="V49" s="84"/>
      <c r="W49" s="84"/>
      <c r="X49" s="84"/>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8"/>
      <c r="AY49" s="78"/>
      <c r="AZ49" s="78"/>
      <c r="BA49" s="78"/>
      <c r="BB49" s="78"/>
      <c r="BC49" s="78"/>
      <c r="BD49" s="78"/>
      <c r="BE49" s="78"/>
      <c r="BF49" s="78"/>
      <c r="BG49" s="78"/>
      <c r="BH49" s="78"/>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78"/>
      <c r="E50" s="78"/>
      <c r="F50" s="78"/>
      <c r="G50" s="78"/>
      <c r="H50" s="84"/>
      <c r="I50" s="84"/>
      <c r="J50" s="84"/>
      <c r="K50" s="84"/>
      <c r="L50" s="84"/>
      <c r="M50" s="84"/>
      <c r="N50" s="84"/>
      <c r="O50" s="84"/>
      <c r="P50" s="84"/>
      <c r="Q50" s="84"/>
      <c r="R50" s="84"/>
      <c r="S50" s="84"/>
      <c r="T50" s="84"/>
      <c r="U50" s="84"/>
      <c r="V50" s="84"/>
      <c r="W50" s="84"/>
      <c r="X50" s="84"/>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78"/>
      <c r="E51" s="78"/>
      <c r="F51" s="78"/>
      <c r="G51" s="78"/>
      <c r="H51" s="84"/>
      <c r="I51" s="84"/>
      <c r="J51" s="84"/>
      <c r="K51" s="84"/>
      <c r="L51" s="84"/>
      <c r="M51" s="84"/>
      <c r="N51" s="84"/>
      <c r="O51" s="84"/>
      <c r="P51" s="84"/>
      <c r="Q51" s="84"/>
      <c r="R51" s="84"/>
      <c r="S51" s="84"/>
      <c r="T51" s="84"/>
      <c r="U51" s="84"/>
      <c r="V51" s="84"/>
      <c r="W51" s="84"/>
      <c r="X51" s="84"/>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78"/>
      <c r="E52" s="62"/>
      <c r="F52" s="78"/>
      <c r="G52" s="78"/>
      <c r="H52" s="84"/>
      <c r="I52" s="84"/>
      <c r="J52" s="84"/>
      <c r="K52" s="84"/>
      <c r="L52" s="84"/>
      <c r="M52" s="84"/>
      <c r="N52" s="84"/>
      <c r="O52" s="84"/>
      <c r="P52" s="84"/>
      <c r="Q52" s="84"/>
      <c r="R52" s="84"/>
      <c r="S52" s="84"/>
      <c r="T52" s="84"/>
      <c r="U52" s="84"/>
      <c r="V52" s="84"/>
      <c r="W52" s="84"/>
      <c r="X52" s="84"/>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8"/>
      <c r="E53" s="78"/>
      <c r="F53" s="78"/>
      <c r="G53" s="78"/>
      <c r="H53" s="84"/>
      <c r="I53" s="84"/>
      <c r="J53" s="84"/>
      <c r="K53" s="84"/>
      <c r="L53" s="84"/>
      <c r="M53" s="84"/>
      <c r="N53" s="84"/>
      <c r="O53" s="84"/>
      <c r="P53" s="84"/>
      <c r="Q53" s="84"/>
      <c r="R53" s="84"/>
      <c r="S53" s="84"/>
      <c r="T53" s="84"/>
      <c r="U53" s="84"/>
      <c r="V53" s="84"/>
      <c r="W53" s="84"/>
      <c r="X53" s="84"/>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8"/>
      <c r="E54" s="78"/>
      <c r="F54" s="78"/>
      <c r="G54" s="78"/>
      <c r="H54" s="84"/>
      <c r="I54" s="84"/>
      <c r="J54" s="84"/>
      <c r="K54" s="84"/>
      <c r="L54" s="84"/>
      <c r="M54" s="84"/>
      <c r="N54" s="84"/>
      <c r="O54" s="84"/>
      <c r="P54" s="84"/>
      <c r="Q54" s="84"/>
      <c r="R54" s="84"/>
      <c r="S54" s="84"/>
      <c r="T54" s="84"/>
      <c r="U54" s="84"/>
      <c r="V54" s="84"/>
      <c r="W54" s="84"/>
      <c r="X54" s="84"/>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8"/>
      <c r="E55" s="78"/>
      <c r="F55" s="78"/>
      <c r="G55" s="78"/>
      <c r="H55" s="84"/>
      <c r="I55" s="84"/>
      <c r="J55" s="84"/>
      <c r="K55" s="84"/>
      <c r="L55" s="84"/>
      <c r="M55" s="84"/>
      <c r="N55" s="84"/>
      <c r="O55" s="84"/>
      <c r="P55" s="84"/>
      <c r="Q55" s="84"/>
      <c r="R55" s="84"/>
      <c r="S55" s="84"/>
      <c r="T55" s="84"/>
      <c r="U55" s="84"/>
      <c r="V55" s="84"/>
      <c r="W55" s="84"/>
      <c r="X55" s="84"/>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79"/>
      <c r="E56" s="78"/>
      <c r="F56" s="78"/>
      <c r="G56" s="78"/>
      <c r="H56" s="78"/>
      <c r="I56" s="78"/>
      <c r="J56" s="78"/>
      <c r="K56" s="78"/>
      <c r="L56" s="78"/>
      <c r="M56" s="78"/>
      <c r="N56" s="78"/>
      <c r="O56" s="78"/>
      <c r="P56" s="78"/>
      <c r="Q56" s="78"/>
      <c r="R56" s="78"/>
      <c r="S56" s="78"/>
      <c r="T56" s="78"/>
      <c r="U56" s="78"/>
      <c r="V56" s="78"/>
      <c r="W56" s="78"/>
      <c r="X56" s="78"/>
      <c r="Y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78"/>
      <c r="AI57" s="78"/>
      <c r="AJ57" s="78"/>
      <c r="AK57" s="78"/>
      <c r="AL57" s="78"/>
      <c r="AM57" s="78"/>
      <c r="AN57" s="78"/>
      <c r="AO57" s="78"/>
      <c r="AP57" s="78"/>
      <c r="AQ57" s="78"/>
      <c r="AR57" s="78"/>
      <c r="AS57" s="78"/>
      <c r="AT57" s="78"/>
      <c r="AU57" s="78"/>
      <c r="AV57" s="78"/>
      <c r="AW57" s="78"/>
      <c r="AX57" s="78"/>
      <c r="AY57" s="78"/>
      <c r="AZ57" s="78"/>
      <c r="BA57" s="78"/>
      <c r="BB57" s="78"/>
      <c r="BC57" s="78"/>
      <c r="BD57" s="78"/>
      <c r="BE57" s="78"/>
      <c r="BF57" s="78"/>
      <c r="BG57" s="78"/>
      <c r="BH57" s="78"/>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79"/>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c r="AW58" s="78"/>
      <c r="AX58" s="78"/>
      <c r="AY58" s="78"/>
      <c r="AZ58" s="78"/>
      <c r="BA58" s="78"/>
      <c r="BB58" s="78"/>
      <c r="BC58" s="78"/>
      <c r="BD58" s="78"/>
      <c r="BE58" s="78"/>
      <c r="BF58" s="78"/>
      <c r="BG58" s="78"/>
      <c r="BH58" s="78"/>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79"/>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c r="AW59" s="78"/>
      <c r="AX59" s="78"/>
      <c r="AY59" s="78"/>
      <c r="AZ59" s="78"/>
      <c r="BA59" s="78"/>
      <c r="BB59" s="78"/>
      <c r="BC59" s="78"/>
      <c r="BD59" s="78"/>
      <c r="BE59" s="78"/>
      <c r="BF59" s="78"/>
      <c r="BG59" s="78"/>
      <c r="BH59" s="78"/>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79"/>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c r="AO60" s="78"/>
      <c r="AP60" s="78"/>
      <c r="AQ60" s="78"/>
      <c r="AR60" s="78"/>
      <c r="AS60" s="78"/>
      <c r="AT60" s="78"/>
      <c r="AU60" s="78"/>
      <c r="AV60" s="78"/>
      <c r="AW60" s="78"/>
      <c r="AX60" s="78"/>
      <c r="AY60" s="78"/>
      <c r="AZ60" s="78"/>
      <c r="BA60" s="78"/>
      <c r="BB60" s="78"/>
      <c r="BC60" s="78"/>
      <c r="BD60" s="78"/>
      <c r="BE60" s="78"/>
      <c r="BF60" s="78"/>
      <c r="BG60" s="78"/>
      <c r="BH60" s="78"/>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79"/>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78"/>
      <c r="AI61" s="78"/>
      <c r="AJ61" s="78"/>
      <c r="AK61" s="78"/>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9"/>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78"/>
      <c r="AI62" s="78"/>
      <c r="AJ62" s="78"/>
      <c r="AK62" s="78"/>
      <c r="AL62" s="78"/>
      <c r="AM62" s="78"/>
      <c r="AN62" s="78"/>
      <c r="AO62" s="78"/>
      <c r="AP62" s="78"/>
      <c r="AQ62" s="78"/>
      <c r="AR62" s="78"/>
      <c r="AS62" s="78"/>
      <c r="AT62" s="78"/>
      <c r="AU62" s="78"/>
      <c r="AV62" s="78"/>
      <c r="AW62" s="78"/>
      <c r="AX62" s="78"/>
      <c r="AY62" s="78"/>
      <c r="AZ62" s="78"/>
      <c r="BA62" s="78"/>
      <c r="BB62" s="78"/>
      <c r="BC62" s="78"/>
      <c r="BD62" s="78"/>
      <c r="BE62" s="78"/>
      <c r="BF62" s="78"/>
      <c r="BG62" s="78"/>
      <c r="BH62" s="78"/>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9"/>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c r="AO63" s="78"/>
      <c r="AP63" s="78"/>
      <c r="AQ63" s="78"/>
      <c r="AR63" s="78"/>
      <c r="AS63" s="78"/>
      <c r="AT63" s="78"/>
      <c r="AU63" s="78"/>
      <c r="AV63" s="78"/>
      <c r="AW63" s="78"/>
      <c r="AX63" s="78"/>
      <c r="AY63" s="78"/>
      <c r="AZ63" s="78"/>
      <c r="BA63" s="78"/>
      <c r="BB63" s="78"/>
      <c r="BC63" s="78"/>
      <c r="BD63" s="78"/>
      <c r="BE63" s="78"/>
      <c r="BF63" s="78"/>
      <c r="BG63" s="78"/>
      <c r="BH63" s="78"/>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c r="AO64" s="78"/>
      <c r="AP64" s="78"/>
      <c r="AQ64" s="78"/>
      <c r="AR64" s="78"/>
      <c r="AS64" s="78"/>
      <c r="AT64" s="78"/>
      <c r="AU64" s="78"/>
      <c r="AV64" s="78"/>
      <c r="AW64" s="78"/>
      <c r="AX64" s="78"/>
      <c r="AY64" s="78"/>
      <c r="AZ64" s="78"/>
      <c r="BA64" s="78"/>
      <c r="BB64" s="78"/>
      <c r="BC64" s="78"/>
      <c r="BD64" s="78"/>
      <c r="BE64" s="78"/>
      <c r="BF64" s="78"/>
      <c r="BG64" s="78"/>
      <c r="BH64" s="78"/>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78"/>
      <c r="AI65" s="78"/>
      <c r="AJ65" s="78"/>
      <c r="AK65" s="78"/>
      <c r="AL65" s="78"/>
      <c r="AM65" s="78"/>
      <c r="AN65" s="78"/>
      <c r="AO65" s="78"/>
      <c r="AP65" s="78"/>
      <c r="AQ65" s="78"/>
      <c r="AR65" s="78"/>
      <c r="AS65" s="78"/>
      <c r="AT65" s="78"/>
      <c r="AU65" s="78"/>
      <c r="AV65" s="78"/>
      <c r="AW65" s="78"/>
      <c r="AX65" s="78"/>
      <c r="AY65" s="78"/>
      <c r="AZ65" s="78"/>
      <c r="BA65" s="78"/>
      <c r="BB65" s="78"/>
      <c r="BC65" s="78"/>
      <c r="BD65" s="78"/>
      <c r="BE65" s="78"/>
      <c r="BF65" s="78"/>
      <c r="BG65" s="78"/>
      <c r="BH65" s="78"/>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78"/>
      <c r="AI66" s="78"/>
      <c r="AJ66" s="78"/>
      <c r="AK66" s="78"/>
      <c r="AL66" s="78"/>
      <c r="AM66" s="78"/>
      <c r="AN66" s="78"/>
      <c r="AO66" s="78"/>
      <c r="AP66" s="78"/>
      <c r="AQ66" s="78"/>
      <c r="AR66" s="78"/>
      <c r="AS66" s="78"/>
      <c r="AT66" s="78"/>
      <c r="AU66" s="78"/>
      <c r="AV66" s="78"/>
      <c r="AW66" s="78"/>
      <c r="AX66" s="78"/>
      <c r="AY66" s="78"/>
      <c r="AZ66" s="78"/>
      <c r="BA66" s="78"/>
      <c r="BB66" s="78"/>
      <c r="BC66" s="78"/>
      <c r="BD66" s="78"/>
      <c r="BE66" s="78"/>
      <c r="BF66" s="78"/>
      <c r="BG66" s="78"/>
      <c r="BH66" s="78"/>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78"/>
      <c r="AI67" s="78"/>
      <c r="AJ67" s="78"/>
      <c r="AK67" s="78"/>
      <c r="AL67" s="78"/>
      <c r="AM67" s="78"/>
      <c r="AN67" s="78"/>
      <c r="AO67" s="78"/>
      <c r="AP67" s="78"/>
      <c r="AQ67" s="78"/>
      <c r="AR67" s="78"/>
      <c r="AS67" s="78"/>
      <c r="AT67" s="78"/>
      <c r="AU67" s="78"/>
      <c r="AV67" s="78"/>
      <c r="AW67" s="78"/>
      <c r="AX67" s="78"/>
      <c r="AY67" s="78"/>
      <c r="AZ67" s="78"/>
      <c r="BA67" s="78"/>
      <c r="BB67" s="78"/>
      <c r="BC67" s="78"/>
      <c r="BD67" s="78"/>
      <c r="BE67" s="78"/>
      <c r="BF67" s="78"/>
      <c r="BG67" s="78"/>
      <c r="BH67" s="78"/>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78"/>
      <c r="AI68" s="78"/>
      <c r="AJ68" s="78"/>
      <c r="AK68" s="78"/>
      <c r="AL68" s="78"/>
      <c r="AM68" s="78"/>
      <c r="AN68" s="78"/>
      <c r="AO68" s="78"/>
      <c r="AP68" s="78"/>
      <c r="AQ68" s="78"/>
      <c r="AR68" s="78"/>
      <c r="AS68" s="78"/>
      <c r="AT68" s="78"/>
      <c r="AU68" s="78"/>
      <c r="AV68" s="78"/>
      <c r="AW68" s="78"/>
      <c r="AX68" s="78"/>
      <c r="AY68" s="78"/>
      <c r="AZ68" s="78"/>
      <c r="BA68" s="78"/>
      <c r="BB68" s="78"/>
      <c r="BC68" s="78"/>
      <c r="BD68" s="78"/>
      <c r="BE68" s="78"/>
      <c r="BF68" s="78"/>
      <c r="BG68" s="78"/>
      <c r="BH68" s="78"/>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c r="AV69" s="78"/>
      <c r="AW69" s="78"/>
      <c r="AX69" s="78"/>
      <c r="AY69" s="78"/>
      <c r="AZ69" s="78"/>
      <c r="BA69" s="78"/>
      <c r="BB69" s="78"/>
      <c r="BC69" s="78"/>
      <c r="BD69" s="78"/>
      <c r="BE69" s="78"/>
      <c r="BF69" s="78"/>
      <c r="BG69" s="78"/>
      <c r="BH69" s="78"/>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78"/>
      <c r="AI70" s="78"/>
      <c r="AJ70" s="78"/>
      <c r="AK70" s="78"/>
      <c r="AL70" s="78"/>
      <c r="AM70" s="78"/>
      <c r="AN70" s="78"/>
      <c r="AO70" s="78"/>
      <c r="AP70" s="78"/>
      <c r="AQ70" s="78"/>
      <c r="AR70" s="78"/>
      <c r="AS70" s="78"/>
      <c r="AT70" s="78"/>
      <c r="AU70" s="78"/>
      <c r="AV70" s="78"/>
      <c r="AW70" s="78"/>
      <c r="AX70" s="78"/>
      <c r="AY70" s="78"/>
      <c r="AZ70" s="78"/>
      <c r="BA70" s="78"/>
      <c r="BB70" s="78"/>
      <c r="BC70" s="78"/>
      <c r="BD70" s="78"/>
      <c r="BE70" s="78"/>
      <c r="BF70" s="78"/>
      <c r="BG70" s="78"/>
      <c r="BH70" s="78"/>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78"/>
      <c r="AI71" s="78"/>
      <c r="AJ71" s="78"/>
      <c r="AK71" s="78"/>
      <c r="AL71" s="78"/>
      <c r="AM71" s="78"/>
      <c r="AN71" s="78"/>
      <c r="AO71" s="78"/>
      <c r="AP71" s="78"/>
      <c r="AQ71" s="78"/>
      <c r="AR71" s="78"/>
      <c r="AS71" s="78"/>
      <c r="AT71" s="78"/>
      <c r="AU71" s="78"/>
      <c r="AV71" s="78"/>
      <c r="AW71" s="78"/>
      <c r="AX71" s="78"/>
      <c r="AY71" s="78"/>
      <c r="AZ71" s="78"/>
      <c r="BA71" s="78"/>
      <c r="BB71" s="78"/>
      <c r="BC71" s="78"/>
      <c r="BD71" s="78"/>
      <c r="BE71" s="78"/>
      <c r="BF71" s="78"/>
      <c r="BG71" s="78"/>
      <c r="BH71" s="78"/>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78"/>
      <c r="AI72" s="78"/>
      <c r="AJ72" s="78"/>
      <c r="AK72" s="78"/>
      <c r="AL72" s="78"/>
      <c r="AM72" s="78"/>
      <c r="AN72" s="78"/>
      <c r="AO72" s="78"/>
      <c r="AP72" s="78"/>
      <c r="AQ72" s="78"/>
      <c r="AR72" s="78"/>
      <c r="AS72" s="78"/>
      <c r="AT72" s="78"/>
      <c r="AU72" s="78"/>
      <c r="AV72" s="78"/>
      <c r="AW72" s="78"/>
      <c r="AX72" s="78"/>
      <c r="AY72" s="78"/>
      <c r="AZ72" s="78"/>
      <c r="BA72" s="78"/>
      <c r="BB72" s="78"/>
      <c r="BC72" s="78"/>
      <c r="BD72" s="78"/>
      <c r="BE72" s="78"/>
      <c r="BF72" s="78"/>
      <c r="BG72" s="78"/>
      <c r="BH72" s="78"/>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8"/>
      <c r="F73" s="78"/>
      <c r="G73" s="78"/>
      <c r="H73" s="78"/>
      <c r="I73" s="78"/>
      <c r="J73" s="78"/>
      <c r="K73" s="78"/>
      <c r="L73" s="78"/>
      <c r="M73" s="78"/>
      <c r="N73" s="78"/>
      <c r="O73" s="78"/>
      <c r="P73" s="78"/>
      <c r="Q73" s="78"/>
      <c r="R73" s="78"/>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8"/>
      <c r="AT73" s="78"/>
      <c r="AU73" s="78"/>
      <c r="AV73" s="78"/>
      <c r="AW73" s="78"/>
      <c r="AX73" s="78"/>
      <c r="AY73" s="78"/>
      <c r="AZ73" s="78"/>
      <c r="BA73" s="78"/>
      <c r="BB73" s="78"/>
      <c r="BC73" s="78"/>
      <c r="BD73" s="78"/>
      <c r="BE73" s="78"/>
      <c r="BF73" s="78"/>
      <c r="BG73" s="78"/>
      <c r="BH73" s="78"/>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8"/>
      <c r="F74" s="78"/>
      <c r="G74" s="78"/>
      <c r="H74" s="78"/>
      <c r="I74" s="78"/>
      <c r="J74" s="78"/>
      <c r="K74" s="78"/>
      <c r="L74" s="78"/>
      <c r="M74" s="78"/>
      <c r="N74" s="78"/>
      <c r="O74" s="78"/>
      <c r="P74" s="78"/>
      <c r="Q74" s="78"/>
      <c r="R74" s="78"/>
      <c r="S74" s="78"/>
      <c r="T74" s="78"/>
      <c r="U74" s="78"/>
      <c r="V74" s="78"/>
      <c r="W74" s="78"/>
      <c r="X74" s="78"/>
      <c r="Y74" s="78"/>
      <c r="Z74" s="78"/>
      <c r="AA74" s="78"/>
      <c r="AB74" s="78"/>
      <c r="AC74" s="78"/>
      <c r="AD74" s="78"/>
      <c r="AE74" s="78"/>
      <c r="AF74" s="78"/>
      <c r="AG74" s="78"/>
      <c r="AH74" s="78"/>
      <c r="AI74" s="78"/>
      <c r="AJ74" s="78"/>
      <c r="AK74" s="78"/>
      <c r="AL74" s="78"/>
      <c r="AM74" s="78"/>
      <c r="AN74" s="78"/>
      <c r="AO74" s="78"/>
      <c r="AP74" s="78"/>
      <c r="AQ74" s="78"/>
      <c r="AR74" s="78"/>
      <c r="AS74" s="78"/>
      <c r="AT74" s="78"/>
      <c r="AU74" s="78"/>
      <c r="AV74" s="78"/>
      <c r="AW74" s="78"/>
      <c r="AX74" s="78"/>
      <c r="AY74" s="78"/>
      <c r="AZ74" s="78"/>
      <c r="BA74" s="78"/>
      <c r="BB74" s="78"/>
      <c r="BC74" s="78"/>
      <c r="BD74" s="78"/>
      <c r="BE74" s="78"/>
      <c r="BF74" s="78"/>
      <c r="BG74" s="78"/>
      <c r="BH74" s="78"/>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8"/>
      <c r="F75" s="78"/>
      <c r="G75" s="78"/>
      <c r="H75" s="78"/>
      <c r="I75" s="78"/>
      <c r="J75" s="78"/>
      <c r="K75" s="78"/>
      <c r="L75" s="78"/>
      <c r="M75" s="78"/>
      <c r="N75" s="78"/>
      <c r="O75" s="78"/>
      <c r="P75" s="78"/>
      <c r="Q75" s="78"/>
      <c r="R75" s="78"/>
      <c r="S75" s="78"/>
      <c r="T75" s="78"/>
      <c r="U75" s="78"/>
      <c r="V75" s="78"/>
      <c r="W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78"/>
      <c r="AV75" s="78"/>
      <c r="AW75" s="78"/>
      <c r="AX75" s="78"/>
      <c r="AY75" s="78"/>
      <c r="AZ75" s="78"/>
      <c r="BA75" s="78"/>
      <c r="BB75" s="78"/>
      <c r="BC75" s="78"/>
      <c r="BD75" s="78"/>
      <c r="BE75" s="78"/>
      <c r="BF75" s="78"/>
      <c r="BG75" s="78"/>
      <c r="BH75" s="78"/>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c r="AW76" s="78"/>
      <c r="AX76" s="78"/>
      <c r="AY76" s="78"/>
      <c r="AZ76" s="78"/>
      <c r="BA76" s="78"/>
      <c r="BB76" s="78"/>
      <c r="BC76" s="78"/>
      <c r="BD76" s="78"/>
      <c r="BE76" s="78"/>
      <c r="BF76" s="78"/>
      <c r="BG76" s="78"/>
      <c r="BH76" s="78"/>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8"/>
      <c r="F77" s="78"/>
      <c r="G77" s="78"/>
      <c r="H77" s="78"/>
      <c r="I77" s="94"/>
      <c r="J77" s="95"/>
      <c r="K77" s="78"/>
      <c r="L77" s="78"/>
      <c r="M77" s="78"/>
      <c r="N77" s="78"/>
      <c r="O77" s="78"/>
      <c r="P77" s="78"/>
      <c r="Q77" s="78"/>
      <c r="R77" s="78"/>
      <c r="S77" s="78"/>
      <c r="T77" s="78"/>
      <c r="U77" s="78"/>
      <c r="V77" s="78"/>
      <c r="W77" s="78"/>
      <c r="X77" s="78"/>
      <c r="Y77" s="78"/>
      <c r="Z77" s="78"/>
      <c r="AA77" s="78"/>
      <c r="AB77" s="78"/>
      <c r="AC77" s="78"/>
      <c r="AD77" s="78"/>
      <c r="AE77" s="78"/>
      <c r="AF77" s="78"/>
      <c r="AG77" s="78"/>
      <c r="AH77" s="78"/>
      <c r="AI77" s="78"/>
      <c r="AJ77" s="78"/>
      <c r="AK77" s="78"/>
      <c r="AL77" s="78"/>
      <c r="AM77" s="78"/>
      <c r="AN77" s="78"/>
      <c r="AO77" s="78"/>
      <c r="AP77" s="78"/>
      <c r="AQ77" s="78"/>
      <c r="AR77" s="78"/>
      <c r="AS77" s="78"/>
      <c r="AT77" s="78"/>
      <c r="AU77" s="78"/>
      <c r="AV77" s="78"/>
      <c r="AW77" s="78"/>
      <c r="AX77" s="78"/>
      <c r="AY77" s="78"/>
      <c r="AZ77" s="78"/>
      <c r="BA77" s="78"/>
      <c r="BB77" s="78"/>
      <c r="BC77" s="78"/>
      <c r="BD77" s="78"/>
      <c r="BE77" s="78"/>
      <c r="BF77" s="78"/>
      <c r="BG77" s="78"/>
      <c r="BH77" s="78"/>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8"/>
      <c r="F78" s="78"/>
      <c r="G78" s="78"/>
      <c r="H78" s="78"/>
      <c r="I78" s="78"/>
      <c r="J78" s="78"/>
      <c r="K78" s="78"/>
      <c r="L78" s="78"/>
      <c r="M78" s="78"/>
      <c r="N78" s="78"/>
      <c r="O78" s="78"/>
      <c r="P78" s="78"/>
      <c r="Q78" s="78"/>
      <c r="R78" s="78"/>
      <c r="S78" s="78"/>
      <c r="T78" s="78"/>
      <c r="U78" s="78"/>
      <c r="V78" s="78"/>
      <c r="W78" s="78"/>
      <c r="X78" s="78"/>
      <c r="Y78" s="78"/>
      <c r="Z78" s="78"/>
      <c r="AA78" s="78"/>
      <c r="AB78" s="78"/>
      <c r="AC78" s="78"/>
      <c r="AD78" s="78"/>
      <c r="AE78" s="78"/>
      <c r="AF78" s="78"/>
      <c r="AG78" s="78"/>
      <c r="AH78" s="78"/>
      <c r="AI78" s="78"/>
      <c r="AJ78" s="78"/>
      <c r="AK78" s="78"/>
      <c r="AL78" s="78"/>
      <c r="AM78" s="78"/>
      <c r="AN78" s="78"/>
      <c r="AO78" s="78"/>
      <c r="AP78" s="78"/>
      <c r="AQ78" s="78"/>
      <c r="AR78" s="78"/>
      <c r="AS78" s="78"/>
      <c r="AT78" s="78"/>
      <c r="AU78" s="78"/>
      <c r="AV78" s="78"/>
      <c r="AW78" s="78"/>
      <c r="AX78" s="78"/>
      <c r="AY78" s="78"/>
      <c r="AZ78" s="78"/>
      <c r="BA78" s="78"/>
      <c r="BB78" s="78"/>
      <c r="BC78" s="78"/>
      <c r="BD78" s="78"/>
      <c r="BE78" s="78"/>
      <c r="BF78" s="78"/>
      <c r="BG78" s="78"/>
      <c r="BH78" s="78"/>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78"/>
      <c r="AF79" s="78"/>
      <c r="AG79" s="78"/>
      <c r="AH79" s="78"/>
      <c r="AI79" s="78"/>
      <c r="AJ79" s="78"/>
      <c r="AK79" s="78"/>
      <c r="AL79" s="78"/>
      <c r="AM79" s="78"/>
      <c r="AN79" s="78"/>
      <c r="AO79" s="78"/>
      <c r="AP79" s="78"/>
      <c r="AQ79" s="78"/>
      <c r="AR79" s="78"/>
      <c r="AS79" s="78"/>
      <c r="AT79" s="78"/>
      <c r="AU79" s="78"/>
      <c r="AV79" s="78"/>
      <c r="AW79" s="78"/>
      <c r="AX79" s="78"/>
      <c r="AY79" s="78"/>
      <c r="AZ79" s="78"/>
      <c r="BA79" s="78"/>
      <c r="BB79" s="78"/>
      <c r="BC79" s="78"/>
      <c r="BD79" s="78"/>
      <c r="BE79" s="78"/>
      <c r="BF79" s="78"/>
      <c r="BG79" s="78"/>
      <c r="BH79" s="78"/>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8"/>
      <c r="F80" s="78"/>
      <c r="G80" s="78"/>
      <c r="H80" s="78"/>
      <c r="I80" s="78"/>
      <c r="J80" s="78"/>
      <c r="K80" s="78"/>
      <c r="L80" s="78"/>
      <c r="M80" s="78"/>
      <c r="N80" s="78"/>
      <c r="O80" s="78"/>
      <c r="P80" s="78"/>
      <c r="Q80" s="78"/>
      <c r="R80" s="78"/>
      <c r="S80" s="78"/>
      <c r="T80" s="78"/>
      <c r="U80" s="78"/>
      <c r="V80" s="78"/>
      <c r="W80" s="78"/>
      <c r="X80" s="78"/>
      <c r="Y80" s="78"/>
      <c r="Z80" s="78"/>
      <c r="AA80" s="78"/>
      <c r="AB80" s="78"/>
      <c r="AC80" s="78"/>
      <c r="AD80" s="78"/>
      <c r="AE80" s="78"/>
      <c r="AF80" s="78"/>
      <c r="AG80" s="78"/>
      <c r="AH80" s="78"/>
      <c r="AI80" s="78"/>
      <c r="AJ80" s="78"/>
      <c r="AK80" s="78"/>
      <c r="AL80" s="78"/>
      <c r="AM80" s="78"/>
      <c r="AN80" s="78"/>
      <c r="AO80" s="78"/>
      <c r="AP80" s="78"/>
      <c r="AQ80" s="78"/>
      <c r="AR80" s="78"/>
      <c r="AS80" s="78"/>
      <c r="AT80" s="78"/>
      <c r="AU80" s="78"/>
      <c r="AV80" s="78"/>
      <c r="AW80" s="78"/>
      <c r="AX80" s="78"/>
      <c r="AY80" s="78"/>
      <c r="AZ80" s="78"/>
      <c r="BA80" s="78"/>
      <c r="BB80" s="78"/>
      <c r="BC80" s="78"/>
      <c r="BD80" s="78"/>
      <c r="BE80" s="78"/>
      <c r="BF80" s="78"/>
      <c r="BG80" s="78"/>
      <c r="BH80" s="78"/>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8"/>
      <c r="F81" s="78"/>
      <c r="G81" s="78"/>
      <c r="H81" s="78"/>
      <c r="I81" s="78"/>
      <c r="J81" s="78"/>
      <c r="K81" s="78"/>
      <c r="L81" s="78"/>
      <c r="M81" s="78"/>
      <c r="N81" s="78"/>
      <c r="O81" s="78"/>
      <c r="P81" s="78"/>
      <c r="Q81" s="78"/>
      <c r="R81" s="78"/>
      <c r="S81" s="78"/>
      <c r="T81" s="78"/>
      <c r="U81" s="78"/>
      <c r="V81" s="78"/>
      <c r="W81" s="78"/>
      <c r="X81" s="78"/>
      <c r="Y81" s="78"/>
      <c r="Z81" s="78"/>
      <c r="AA81" s="78"/>
      <c r="AB81" s="78"/>
      <c r="AC81" s="78"/>
      <c r="AD81" s="78"/>
      <c r="AE81" s="78"/>
      <c r="AF81" s="78"/>
      <c r="AG81" s="78"/>
      <c r="AH81" s="78"/>
      <c r="AI81" s="78"/>
      <c r="AJ81" s="78"/>
      <c r="AK81" s="78"/>
      <c r="AL81" s="78"/>
      <c r="AM81" s="78"/>
      <c r="AN81" s="78"/>
      <c r="AO81" s="78"/>
      <c r="AP81" s="78"/>
      <c r="AQ81" s="78"/>
      <c r="AR81" s="78"/>
      <c r="AS81" s="78"/>
      <c r="AT81" s="78"/>
      <c r="AU81" s="78"/>
      <c r="AV81" s="78"/>
      <c r="AW81" s="78"/>
      <c r="AX81" s="78"/>
      <c r="AY81" s="78"/>
      <c r="AZ81" s="78"/>
      <c r="BA81" s="78"/>
      <c r="BB81" s="78"/>
      <c r="BC81" s="78"/>
      <c r="BD81" s="78"/>
      <c r="BE81" s="78"/>
      <c r="BF81" s="78"/>
      <c r="BG81" s="78"/>
      <c r="BH81" s="78"/>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78"/>
      <c r="AF82" s="78"/>
      <c r="AG82" s="78"/>
      <c r="AH82" s="78"/>
      <c r="AI82" s="78"/>
      <c r="AJ82" s="78"/>
      <c r="AK82" s="78"/>
      <c r="AL82" s="78"/>
      <c r="AM82" s="78"/>
      <c r="AN82" s="78"/>
      <c r="AO82" s="78"/>
      <c r="AP82" s="78"/>
      <c r="AQ82" s="78"/>
      <c r="AR82" s="78"/>
      <c r="AS82" s="78"/>
      <c r="AT82" s="78"/>
      <c r="AU82" s="78"/>
      <c r="AV82" s="78"/>
      <c r="AW82" s="78"/>
      <c r="AX82" s="78"/>
      <c r="AY82" s="78"/>
      <c r="AZ82" s="78"/>
      <c r="BA82" s="78"/>
      <c r="BB82" s="78"/>
      <c r="BC82" s="78"/>
      <c r="BD82" s="78"/>
      <c r="BE82" s="78"/>
      <c r="BF82" s="78"/>
      <c r="BG82" s="78"/>
      <c r="BH82" s="78"/>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8"/>
      <c r="F83" s="78"/>
      <c r="G83" s="78"/>
      <c r="H83" s="78"/>
      <c r="I83" s="78"/>
      <c r="J83" s="78"/>
      <c r="K83" s="78"/>
      <c r="L83" s="78"/>
      <c r="M83" s="78"/>
      <c r="N83" s="78"/>
      <c r="O83" s="78"/>
      <c r="P83" s="78"/>
      <c r="Q83" s="78"/>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c r="AQ83" s="78"/>
      <c r="AR83" s="78"/>
      <c r="AS83" s="78"/>
      <c r="AT83" s="78"/>
      <c r="AU83" s="78"/>
      <c r="AV83" s="78"/>
      <c r="AW83" s="78"/>
      <c r="AX83" s="78"/>
      <c r="AY83" s="78"/>
      <c r="AZ83" s="78"/>
      <c r="BA83" s="78"/>
      <c r="BB83" s="78"/>
      <c r="BC83" s="78"/>
      <c r="BD83" s="78"/>
      <c r="BE83" s="78"/>
      <c r="BF83" s="78"/>
      <c r="BG83" s="78"/>
      <c r="BH83" s="78"/>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link="1"/>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35" priority="20">
      <formula>$E$5&gt;=ROW(B44)-ROW($B$43)</formula>
    </cfRule>
  </conditionalFormatting>
  <conditionalFormatting sqref="B78:BH153 B77:I77 K77:BH77 B47:BH55 B57:BH76 AA56:BH56 B56:Y56 B44:C46 E44:BH46">
    <cfRule type="expression" dxfId="34" priority="19">
      <formula>$E$5&gt;=ROW(B44)-ROW($B$43)</formula>
    </cfRule>
  </conditionalFormatting>
  <conditionalFormatting sqref="E40:F40">
    <cfRule type="expression" dxfId="33" priority="11">
      <formula>$E$40&gt;2000</formula>
    </cfRule>
    <cfRule type="expression" dxfId="32" priority="12">
      <formula>$E$40&gt;2000</formula>
    </cfRule>
    <cfRule type="expression" dxfId="31" priority="13">
      <formula>$E$40&gt;2000</formula>
    </cfRule>
    <cfRule type="expression" dxfId="30" priority="14">
      <formula>$E$40&gt;2000</formula>
    </cfRule>
    <cfRule type="expression" dxfId="29" priority="15">
      <formula>$E$40&gt;2000</formula>
    </cfRule>
    <cfRule type="expression" dxfId="28" priority="16">
      <formula>$E$40&gt;2000</formula>
    </cfRule>
    <cfRule type="expression" dxfId="27" priority="17">
      <formula>$E$40&gt;2000</formula>
    </cfRule>
    <cfRule type="expression" dxfId="26" priority="18">
      <formula>$E$40&gt;2000</formula>
    </cfRule>
  </conditionalFormatting>
  <conditionalFormatting sqref="D44:D45">
    <cfRule type="expression" dxfId="25" priority="10">
      <formula>$E$5&gt;=ROW(D44)-ROW($B$39)</formula>
    </cfRule>
  </conditionalFormatting>
  <conditionalFormatting sqref="D46">
    <cfRule type="expression" dxfId="24" priority="9">
      <formula>$E$5&gt;=ROW(D46)-ROW($B$39)</formula>
    </cfRule>
  </conditionalFormatting>
  <conditionalFormatting sqref="E41:F41">
    <cfRule type="expression" dxfId="23" priority="1">
      <formula>$E$40&gt;2000</formula>
    </cfRule>
    <cfRule type="expression" dxfId="22" priority="2">
      <formula>$E$40&gt;2000</formula>
    </cfRule>
    <cfRule type="expression" dxfId="21" priority="3">
      <formula>$E$40&gt;2000</formula>
    </cfRule>
    <cfRule type="expression" dxfId="20" priority="4">
      <formula>$E$40&gt;2000</formula>
    </cfRule>
    <cfRule type="expression" dxfId="19" priority="5">
      <formula>$E$40&gt;2000</formula>
    </cfRule>
    <cfRule type="expression" dxfId="18" priority="6">
      <formula>$E$40&gt;2000</formula>
    </cfRule>
    <cfRule type="expression" dxfId="17" priority="7">
      <formula>$E$40&gt;2000</formula>
    </cfRule>
    <cfRule type="expression" dxfId="16" priority="8">
      <formula>$E$40&gt;2000</formula>
    </cfRule>
  </conditionalFormatting>
  <dataValidations disablePrompts="1" count="8">
    <dataValidation type="whole" allowBlank="1" showInputMessage="1" showErrorMessage="1" errorTitle="Falscher Wert" error="Die Anzahl der Ausgabekanäle muss zwischen 1 und 765 liegen" sqref="E5:F5" xr:uid="{F964D95F-DBA3-4F9C-94BF-9DAB98784973}">
      <formula1>1</formula1>
      <formula2>765</formula2>
    </dataValidation>
    <dataValidation type="whole" allowBlank="1" showInputMessage="1" showErrorMessage="1" errorTitle="Falscher Wert" error="&quot;Wert Max&quot; mus zwischen 0 und 255 liegen" sqref="E8:F8" xr:uid="{A86E54E8-1686-4549-B5FA-26261CBE6178}">
      <formula1>0</formula1>
      <formula2>255</formula2>
    </dataValidation>
    <dataValidation type="whole" allowBlank="1" showInputMessage="1" showErrorMessage="1" errorTitle="Falscher Wert" error="&quot;Wert ausgeschaltet&quot; muss zwischen 0 und 255 liegen." sqref="E9:F9" xr:uid="{02C7B662-8C79-471D-ABEC-C89574810A44}">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9BED4D64-8A79-4510-8510-E83006899D17}">
      <formula1>OR(ISTEXT(E4),AND(IF(ISERROR(ROUND(VALUE(E4),0)),FALSE,ROUND(VALUE(E4),0)=E4),E4&gt;=0,E4&lt;=255))</formula1>
    </dataValidation>
    <dataValidation type="whole" allowBlank="1" showInputMessage="1" showErrorMessage="1" errorTitle="Falscher Wert" error="Der Startkanal muss zwischen 0 und 2 liegen" sqref="E3:F3" xr:uid="{6D56EED6-3066-4144-A2CA-FF1CD9885CB8}">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68C61D2A-B4BB-4B9D-A682-C78F9F824755}">
      <formula1>OR(ISTEXT(E2),AND(IF(ISERROR(ROUND(VALUE(E2),0)),FALSE,ROUND(VALUE(E2),0)=E2),E2&gt;=0,E2&lt;=255))</formula1>
    </dataValidation>
    <dataValidation type="whole" allowBlank="1" showInputMessage="1" showErrorMessage="1" errorTitle="Falscher Wert" error="&quot;Wert Min&quot; muss zwischen 0 und 255 liegen" sqref="E7:F7" xr:uid="{49AC3352-6BD1-4C18-BD60-47CFD1019434}">
      <formula1>0</formula1>
      <formula2>255</formula2>
    </dataValidation>
    <dataValidation type="decimal" allowBlank="1" showErrorMessage="1" errorTitle="Falscher Wert" error="&quot;Bits pro Wert&quot; muss zwischen 1 und 8 liegen" sqref="E6:F6" xr:uid="{A7E57E9A-5E01-4D04-A08A-DB1922A805D8}">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25"/>
  <dimension ref="B1:GM139"/>
  <sheetViews>
    <sheetView showGridLines="0" workbookViewId="0">
      <selection activeCell="E15" sqref="E15:F1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0</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68</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APatternT2(0,192,SI_1,1,0,255,0,PM_HSV,60 Sek,0 ms,1)</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118</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Changing_Hue(LED,InNr)                       APatternT2(LED,192,InNr,1,0,255,0,PM_HSV,60 Sek,0 ms,1)</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Changing_Hue_StCh(LED,StCh,InNr)     APatternT2(LED,StCh+192,InNr,1,0,255,0,PM_HSV,60 Sek,0 ms,1)</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70</v>
      </c>
      <c r="F21" s="26" t="s">
        <v>71</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60 Sek</v>
      </c>
      <c r="F22" s="13" t="str">
        <f t="shared" ref="F22:AJ22" si="0">IF(AND(_xlfn.ISFORMULA(F21),G22=""),"",IF(F21&lt;&gt;"",F21,""))</f>
        <v>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,60 Sek</v>
      </c>
      <c r="F23" s="2" t="str">
        <f t="shared" ref="F23:AJ23" si="1">IF(OR(F22&lt;&gt;"",G23&lt;&gt;""),CONCATENATE(",",IF(F22="","!",F22)),"")</f>
        <v>,0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,60 Sek,0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192</v>
      </c>
      <c r="F28" s="2" t="str">
        <f>DEC2BIN(E28,8)</f>
        <v>11000000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192</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6:,1</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6</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1,0,255,0,PM_HSV,60 Sek,0 ms,1)</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Changing_Hue(LED,NStru,InNr)    APatternT2(LED,NStru,InNr,1,0,255,0,PM_HSV,60 Sek,0 ms,1)</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16</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66</v>
      </c>
      <c r="E40" s="45" t="s">
        <v>0</v>
      </c>
      <c r="F40" s="45" t="s">
        <v>59</v>
      </c>
      <c r="G40" s="45"/>
      <c r="H40" s="45"/>
      <c r="I40" s="45"/>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I73:J73"/>
    <mergeCell ref="E2:F2"/>
    <mergeCell ref="E3:F3"/>
    <mergeCell ref="E4:F4"/>
    <mergeCell ref="E5:F5"/>
    <mergeCell ref="E6:F6"/>
    <mergeCell ref="E7:F7"/>
    <mergeCell ref="E8:F8"/>
    <mergeCell ref="E9:F9"/>
    <mergeCell ref="E10:F10"/>
    <mergeCell ref="E11:F11"/>
    <mergeCell ref="E15:F15"/>
  </mergeCells>
  <conditionalFormatting sqref="B40:B149">
    <cfRule type="expression" dxfId="15" priority="8">
      <formula>$E$5&gt;=ROW(B40)-ROW($B$39)</formula>
    </cfRule>
  </conditionalFormatting>
  <conditionalFormatting sqref="B40:BH72 B74:BH149 B73:I73 K73:BH73">
    <cfRule type="expression" dxfId="14" priority="7">
      <formula>$E$5&gt;=ROW(B40)-ROW($B$39)</formula>
    </cfRule>
  </conditionalFormatting>
  <conditionalFormatting sqref="E37:F37">
    <cfRule type="expression" dxfId="13" priority="1">
      <formula>$E$37&gt;2000</formula>
    </cfRule>
    <cfRule type="expression" dxfId="12" priority="2">
      <formula>$E$37&gt;2000</formula>
    </cfRule>
    <cfRule type="expression" dxfId="11" priority="3">
      <formula>$E$37&gt;2000</formula>
    </cfRule>
    <cfRule type="expression" dxfId="10" priority="4">
      <formula>$E$37&gt;2000</formula>
    </cfRule>
    <cfRule type="expression" dxfId="9" priority="5">
      <formula>$E$37&gt;2000</formula>
    </cfRule>
    <cfRule type="expression" dxfId="8" priority="6">
      <formula>$E$37&gt;2000</formula>
    </cfRule>
  </conditionalFormatting>
  <dataValidations count="8">
    <dataValidation type="whole" allowBlank="1" showInputMessage="1" showErrorMessage="1" errorTitle="Falscher Wert" error="Die Anzahl der Ausgabekanäle muss zwischen 1 und 765 liegen" sqref="E5:F5" xr:uid="{00000000-0002-0000-0D00-000000000000}">
      <formula1>1</formula1>
      <formula2>765</formula2>
    </dataValidation>
    <dataValidation type="decimal" allowBlank="1" showErrorMessage="1" errorTitle="Falscher Wert" error="&quot;Bits pro Wert&quot; muss zwischen 1 und 8 liegen" sqref="E6:F6" xr:uid="{00000000-0002-0000-0D00-000001000000}">
      <formula1>1</formula1>
      <formula2>8</formula2>
    </dataValidation>
    <dataValidation type="whole" allowBlank="1" showInputMessage="1" showErrorMessage="1" errorTitle="Falscher Wert" error="&quot;Wert Min&quot; muss zwischen 0 und 255 liegen" sqref="E7:F7" xr:uid="{00000000-0002-0000-0D00-000002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D00-000003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D00-000004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D00-000005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D00-000006000000}">
      <formula1>0</formula1>
      <formula2>255</formula2>
    </dataValidation>
    <dataValidation type="whole" allowBlank="1" showInputMessage="1" showErrorMessage="1" errorTitle="Falscher Wert" error="&quot;Wert Max&quot; mus zwischen 0 und 255 liegen" sqref="E8:F8" xr:uid="{00000000-0002-0000-0D00-000007000000}">
      <formula1>0</formula1>
      <formula2>255</formula2>
    </dataValidation>
  </dataValidations>
  <pageMargins left="0.7" right="0.7" top="0.78740157499999996" bottom="0.78740157499999996" header="0.3" footer="0.3"/>
  <pageSetup paperSize="9" orientation="portrait" horizontalDpi="300"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6"/>
  <dimension ref="B1:GM139"/>
  <sheetViews>
    <sheetView showGridLines="0" workbookViewId="0"/>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113</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96">
        <v>0</v>
      </c>
      <c r="F2" s="9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96">
        <v>2</v>
      </c>
      <c r="F3" s="9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96" t="s">
        <v>41</v>
      </c>
      <c r="F4" s="9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96">
        <v>1</v>
      </c>
      <c r="F5" s="9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96">
        <v>1</v>
      </c>
      <c r="F6" s="9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96">
        <v>0</v>
      </c>
      <c r="F7" s="9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96">
        <v>255</v>
      </c>
      <c r="F8" s="9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96">
        <v>0</v>
      </c>
      <c r="F9" s="9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96" t="s">
        <v>73</v>
      </c>
      <c r="F10" s="9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96">
        <v>1</v>
      </c>
      <c r="F11" s="9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APatternT5(0,98,SI_1,1,0,255,0,PM_HSV|PF_EASEINOUT,50 ms,5 Sek,2 Sek,5 Sek,10 Sek,6)</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96" t="s">
        <v>117</v>
      </c>
      <c r="F15" s="9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Pulsating_Val(LED,InNr)                       APatternT5(LED,98,InNr,1,0,255,0,PM_HSV|PF_EASEINOUT,50 ms,5 Sek,2 Sek,5 Sek,10 Sek,6)</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Pulsating_Val_StCh(LED,StCh,InNr)     APatternT5(LED,StCh+96,InNr,1,0,255,0,PM_HSV|PF_EASEINOUT,50 ms,5 Sek,2 Sek,5 Sek,10 Sek,6)</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46</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83</v>
      </c>
      <c r="F21" s="26" t="s">
        <v>114</v>
      </c>
      <c r="G21" s="26" t="s">
        <v>115</v>
      </c>
      <c r="H21" s="26" t="s">
        <v>114</v>
      </c>
      <c r="I21" s="26" t="s">
        <v>116</v>
      </c>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50 ms</v>
      </c>
      <c r="F22" s="13" t="str">
        <f t="shared" ref="F22:AJ22" si="0">IF(AND(_xlfn.ISFORMULA(F21),G22=""),"",IF(F21&lt;&gt;"",F21,""))</f>
        <v>5 Sek</v>
      </c>
      <c r="G22" s="13" t="str">
        <f t="shared" si="0"/>
        <v>2 Sek</v>
      </c>
      <c r="H22" s="13" t="str">
        <f t="shared" si="0"/>
        <v>5 Sek</v>
      </c>
      <c r="I22" s="13" t="str">
        <f t="shared" si="0"/>
        <v>10 Sek</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,50 ms</v>
      </c>
      <c r="F23" s="2" t="str">
        <f t="shared" ref="F23:AJ23" si="1">IF(OR(F22&lt;&gt;"",G23&lt;&gt;""),CONCATENATE(",",IF(F22="","!",F22)),"")</f>
        <v>,5 Sek</v>
      </c>
      <c r="G23" s="2" t="str">
        <f t="shared" si="1"/>
        <v>,2 Sek</v>
      </c>
      <c r="H23" s="2" t="str">
        <f t="shared" si="1"/>
        <v>,5 Sek</v>
      </c>
      <c r="I23" s="2" t="str">
        <f t="shared" si="1"/>
        <v>,10 Sek</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,50 ms,5 Sek,2 Sek,5 Sek,10 Sek</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APatternT5(</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98</v>
      </c>
      <c r="F28" s="2" t="str">
        <f>DEC2BIN(E28,8)</f>
        <v>01100010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96</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3:,6</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3</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,6</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1,0,255,0,PM_HSV|PF_EASEINOUT,50 ms,5 Sek,2 Sek,5 Sek,10 Sek,6)</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Pulsating_Val(LED,NStru,InNr)    APatternT5(LED,NStru,InNr,1,0,255,0,PM_HSV|PF_EASEINOUT,50 ms,5 Sek,2 Sek,5 Sek,10 Sek,6)</v>
      </c>
      <c r="F34" s="2"/>
      <c r="G34" s="2"/>
      <c r="H34" s="2"/>
      <c r="I34" s="2"/>
      <c r="J34" s="2"/>
      <c r="X34" s="2"/>
      <c r="Y34" s="14"/>
      <c r="Z34" s="2"/>
      <c r="AA34" s="2"/>
      <c r="AB34" s="2"/>
    </row>
    <row r="35" spans="2:193" hidden="1" x14ac:dyDescent="0.3">
      <c r="D35" s="17" t="s">
        <v>21</v>
      </c>
      <c r="E35" s="18">
        <v>11</v>
      </c>
      <c r="G35" s="17" t="s">
        <v>20</v>
      </c>
      <c r="H35" s="18">
        <f>2*(32-COUNTIF(E22:AJ22,""))</f>
        <v>10</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22</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158</v>
      </c>
      <c r="E40" s="45"/>
      <c r="F40" s="45" t="s">
        <v>0</v>
      </c>
      <c r="G40" s="45" t="s">
        <v>0</v>
      </c>
      <c r="H40" s="45" t="s">
        <v>59</v>
      </c>
      <c r="I40" s="45" t="s">
        <v>59</v>
      </c>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98"/>
      <c r="J73" s="9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I73:J73"/>
    <mergeCell ref="E2:F2"/>
    <mergeCell ref="E3:F3"/>
    <mergeCell ref="E4:F4"/>
    <mergeCell ref="E5:F5"/>
    <mergeCell ref="E6:F6"/>
    <mergeCell ref="E7:F7"/>
    <mergeCell ref="E8:F8"/>
    <mergeCell ref="E9:F9"/>
    <mergeCell ref="E10:F10"/>
    <mergeCell ref="E11:F11"/>
    <mergeCell ref="E15:F15"/>
  </mergeCells>
  <conditionalFormatting sqref="B40:B149">
    <cfRule type="expression" dxfId="7" priority="8">
      <formula>$E$5&gt;=ROW(B40)-ROW($B$39)</formula>
    </cfRule>
  </conditionalFormatting>
  <conditionalFormatting sqref="B40:BH72 B74:BH149 B73:I73 K73:BH73">
    <cfRule type="expression" dxfId="6" priority="7">
      <formula>$E$5&gt;=ROW(B40)-ROW($B$39)</formula>
    </cfRule>
  </conditionalFormatting>
  <conditionalFormatting sqref="E37:F37">
    <cfRule type="expression" dxfId="5" priority="1">
      <formula>$E$37&gt;2000</formula>
    </cfRule>
    <cfRule type="expression" dxfId="4" priority="2">
      <formula>$E$37&gt;2000</formula>
    </cfRule>
    <cfRule type="expression" dxfId="3" priority="3">
      <formula>$E$37&gt;2000</formula>
    </cfRule>
    <cfRule type="expression" dxfId="2" priority="4">
      <formula>$E$37&gt;2000</formula>
    </cfRule>
    <cfRule type="expression" dxfId="1" priority="5">
      <formula>$E$37&gt;2000</formula>
    </cfRule>
    <cfRule type="expression" dxfId="0" priority="6">
      <formula>$E$37&gt;2000</formula>
    </cfRule>
  </conditionalFormatting>
  <dataValidations count="8">
    <dataValidation type="whole" allowBlank="1" showInputMessage="1" showErrorMessage="1" errorTitle="Falscher Wert" error="Die Anzahl der Ausgabekanäle muss zwischen 1 und 765 liegen" sqref="E5:F5" xr:uid="{00000000-0002-0000-0E00-000000000000}">
      <formula1>1</formula1>
      <formula2>765</formula2>
    </dataValidation>
    <dataValidation type="whole" allowBlank="1" showInputMessage="1" showErrorMessage="1" errorTitle="Falscher Wert" error="&quot;Wert Max&quot; mus zwischen 0 und 255 liegen" sqref="E8:F8" xr:uid="{00000000-0002-0000-0E00-000001000000}">
      <formula1>0</formula1>
      <formula2>255</formula2>
    </dataValidation>
    <dataValidation type="whole" allowBlank="1" showInputMessage="1" showErrorMessage="1" errorTitle="Falscher Wert" error="&quot;Wert ausgeschaltet&quot; muss zwischen 0 und 255 liegen." sqref="E9:F9" xr:uid="{00000000-0002-0000-0E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E00-000003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E00-000004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E00-000005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E00-000006000000}">
      <formula1>0</formula1>
      <formula2>255</formula2>
    </dataValidation>
    <dataValidation type="decimal" allowBlank="1" showErrorMessage="1" errorTitle="Falscher Wert" error="&quot;Bits pro Wert&quot; muss zwischen 1 und 8 liegen" sqref="E6:F6" xr:uid="{00000000-0002-0000-0E00-000007000000}">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542</vt:i4>
      </vt:variant>
    </vt:vector>
  </HeadingPairs>
  <TitlesOfParts>
    <vt:vector size="562" baseType="lpstr">
      <vt:lpstr>Main</vt:lpstr>
      <vt:lpstr>LocalVar Sound</vt:lpstr>
      <vt:lpstr>90.Int_Test_LocalVar_Pattern</vt:lpstr>
      <vt:lpstr>Main mit Wechselblinker</vt:lpstr>
      <vt:lpstr>Heartbeat_Hue</vt:lpstr>
      <vt:lpstr>Heartbeat_Val</vt:lpstr>
      <vt:lpstr>ConstrWarnLight</vt:lpstr>
      <vt:lpstr>RGB_ConstrWarnLight</vt:lpstr>
      <vt:lpstr>AmpelX</vt:lpstr>
      <vt:lpstr>AmpelX_Off</vt:lpstr>
      <vt:lpstr>RGB_AmpelX</vt:lpstr>
      <vt:lpstr>RGB_AmpelX_Off</vt:lpstr>
      <vt:lpstr>RGB_AmpelX_Fade</vt:lpstr>
      <vt:lpstr>RGB_AmpelX_Fade_Off</vt:lpstr>
      <vt:lpstr>Dep Signal4 RGB</vt:lpstr>
      <vt:lpstr>Dep Signal4</vt:lpstr>
      <vt:lpstr>Entry Signal3 RGB</vt:lpstr>
      <vt:lpstr> Entry Signal3</vt:lpstr>
      <vt:lpstr>Ilumination Hue</vt:lpstr>
      <vt:lpstr>Ilumination Val</vt:lpstr>
      <vt:lpstr>' Entry Signal3'!Analog</vt:lpstr>
      <vt:lpstr>'90.Int_Test_LocalVar_Pattern'!Analog</vt:lpstr>
      <vt:lpstr>AmpelX!Analog</vt:lpstr>
      <vt:lpstr>AmpelX_Off!Analog</vt:lpstr>
      <vt:lpstr>ConstrWarnLight!Analog</vt:lpstr>
      <vt:lpstr>'Dep Signal4'!Analog</vt:lpstr>
      <vt:lpstr>'Dep Signal4 RGB'!Analog</vt:lpstr>
      <vt:lpstr>'Entry Signal3 RGB'!Analog</vt:lpstr>
      <vt:lpstr>Heartbeat_Hue!Analog</vt:lpstr>
      <vt:lpstr>Heartbeat_Val!Analog</vt:lpstr>
      <vt:lpstr>'Ilumination Hue'!Analog</vt:lpstr>
      <vt:lpstr>'Ilumination Val'!Analog</vt:lpstr>
      <vt:lpstr>'LocalVar Sound'!Analog</vt:lpstr>
      <vt:lpstr>'Main mit Wechselblinker'!Analog</vt:lpstr>
      <vt:lpstr>RGB_AmpelX!Analog</vt:lpstr>
      <vt:lpstr>RGB_AmpelX_Fade!Analog</vt:lpstr>
      <vt:lpstr>RGB_AmpelX_Fade_Off!Analog</vt:lpstr>
      <vt:lpstr>RGB_AmpelX_Off!Analog</vt:lpstr>
      <vt:lpstr>RGB_ConstrWarnLight!Analog</vt:lpstr>
      <vt:lpstr>Analog</vt:lpstr>
      <vt:lpstr>' Entry Signal3'!Analoges_Überblenden</vt:lpstr>
      <vt:lpstr>'90.Int_Test_LocalVar_Pattern'!Analoges_Überblenden</vt:lpstr>
      <vt:lpstr>AmpelX!Analoges_Überblenden</vt:lpstr>
      <vt:lpstr>AmpelX_Off!Analoges_Überblenden</vt:lpstr>
      <vt:lpstr>ConstrWarnLight!Analoges_Überblenden</vt:lpstr>
      <vt:lpstr>'Dep Signal4'!Analoges_Überblenden</vt:lpstr>
      <vt:lpstr>'Dep Signal4 RGB'!Analoges_Überblenden</vt:lpstr>
      <vt:lpstr>'Entry Signal3 RGB'!Analoges_Überblenden</vt:lpstr>
      <vt:lpstr>Heartbeat_Hue!Analoges_Überblenden</vt:lpstr>
      <vt:lpstr>Heartbeat_Val!Analoges_Überblenden</vt:lpstr>
      <vt:lpstr>'Ilumination Hue'!Analoges_Überblenden</vt:lpstr>
      <vt:lpstr>'Ilumination Val'!Analoges_Überblenden</vt:lpstr>
      <vt:lpstr>'LocalVar Sound'!Analoges_Überblenden</vt:lpstr>
      <vt:lpstr>'Main mit Wechselblinker'!Analoges_Überblenden</vt:lpstr>
      <vt:lpstr>RGB_AmpelX!Analoges_Überblenden</vt:lpstr>
      <vt:lpstr>RGB_AmpelX_Fade!Analoges_Überblenden</vt:lpstr>
      <vt:lpstr>RGB_AmpelX_Fade_Off!Analoges_Überblenden</vt:lpstr>
      <vt:lpstr>RGB_AmpelX_Off!Analoges_Überblenden</vt:lpstr>
      <vt:lpstr>RGB_ConstrWarnLight!Analoges_Überblenden</vt:lpstr>
      <vt:lpstr>Analoges_Überblenden</vt:lpstr>
      <vt:lpstr>' Entry Signal3'!AnalogUeberbl</vt:lpstr>
      <vt:lpstr>'90.Int_Test_LocalVar_Pattern'!AnalogUeberbl</vt:lpstr>
      <vt:lpstr>AmpelX!AnalogUeberbl</vt:lpstr>
      <vt:lpstr>AmpelX_Off!AnalogUeberbl</vt:lpstr>
      <vt:lpstr>ConstrWarnLight!AnalogUeberbl</vt:lpstr>
      <vt:lpstr>'Dep Signal4'!AnalogUeberbl</vt:lpstr>
      <vt:lpstr>'Dep Signal4 RGB'!AnalogUeberbl</vt:lpstr>
      <vt:lpstr>'Entry Signal3 RGB'!AnalogUeberbl</vt:lpstr>
      <vt:lpstr>Heartbeat_Hue!AnalogUeberbl</vt:lpstr>
      <vt:lpstr>Heartbeat_Val!AnalogUeberbl</vt:lpstr>
      <vt:lpstr>'Ilumination Hue'!AnalogUeberbl</vt:lpstr>
      <vt:lpstr>'Ilumination Val'!AnalogUeberbl</vt:lpstr>
      <vt:lpstr>'LocalVar Sound'!AnalogUeberbl</vt:lpstr>
      <vt:lpstr>'Main mit Wechselblinker'!AnalogUeberbl</vt:lpstr>
      <vt:lpstr>RGB_AmpelX!AnalogUeberbl</vt:lpstr>
      <vt:lpstr>RGB_AmpelX_Fade!AnalogUeberbl</vt:lpstr>
      <vt:lpstr>RGB_AmpelX_Fade_Off!AnalogUeberbl</vt:lpstr>
      <vt:lpstr>RGB_AmpelX_Off!AnalogUeberbl</vt:lpstr>
      <vt:lpstr>RGB_ConstrWarnLight!AnalogUeberbl</vt:lpstr>
      <vt:lpstr>AnalogUeberbl</vt:lpstr>
      <vt:lpstr>' Entry Signal3'!Bits_pro_Wert</vt:lpstr>
      <vt:lpstr>'90.Int_Test_LocalVar_Pattern'!Bits_pro_Wert</vt:lpstr>
      <vt:lpstr>AmpelX!Bits_pro_Wert</vt:lpstr>
      <vt:lpstr>AmpelX_Off!Bits_pro_Wert</vt:lpstr>
      <vt:lpstr>ConstrWarnLight!Bits_pro_Wert</vt:lpstr>
      <vt:lpstr>'Dep Signal4'!Bits_pro_Wert</vt:lpstr>
      <vt:lpstr>'Dep Signal4 RGB'!Bits_pro_Wert</vt:lpstr>
      <vt:lpstr>'Entry Signal3 RGB'!Bits_pro_Wert</vt:lpstr>
      <vt:lpstr>Heartbeat_Hue!Bits_pro_Wert</vt:lpstr>
      <vt:lpstr>Heartbeat_Val!Bits_pro_Wert</vt:lpstr>
      <vt:lpstr>'Ilumination Hue'!Bits_pro_Wert</vt:lpstr>
      <vt:lpstr>'Ilumination Val'!Bits_pro_Wert</vt:lpstr>
      <vt:lpstr>'LocalVar Sound'!Bits_pro_Wert</vt:lpstr>
      <vt:lpstr>'Main mit Wechselblinker'!Bits_pro_Wert</vt:lpstr>
      <vt:lpstr>RGB_AmpelX!Bits_pro_Wert</vt:lpstr>
      <vt:lpstr>RGB_AmpelX_Fade!Bits_pro_Wert</vt:lpstr>
      <vt:lpstr>RGB_AmpelX_Fade_Off!Bits_pro_Wert</vt:lpstr>
      <vt:lpstr>RGB_AmpelX_Off!Bits_pro_Wert</vt:lpstr>
      <vt:lpstr>RGB_ConstrWarnLight!Bits_pro_Wert</vt:lpstr>
      <vt:lpstr>Bits_pro_Wert</vt:lpstr>
      <vt:lpstr>' Entry Signal3'!DataBytes</vt:lpstr>
      <vt:lpstr>'90.Int_Test_LocalVar_Pattern'!DataBytes</vt:lpstr>
      <vt:lpstr>AmpelX!DataBytes</vt:lpstr>
      <vt:lpstr>AmpelX_Off!DataBytes</vt:lpstr>
      <vt:lpstr>ConstrWarnLight!DataBytes</vt:lpstr>
      <vt:lpstr>'Dep Signal4'!DataBytes</vt:lpstr>
      <vt:lpstr>'Dep Signal4 RGB'!DataBytes</vt:lpstr>
      <vt:lpstr>'Entry Signal3 RGB'!DataBytes</vt:lpstr>
      <vt:lpstr>Heartbeat_Hue!DataBytes</vt:lpstr>
      <vt:lpstr>Heartbeat_Val!DataBytes</vt:lpstr>
      <vt:lpstr>'Ilumination Hue'!DataBytes</vt:lpstr>
      <vt:lpstr>'Ilumination Val'!DataBytes</vt:lpstr>
      <vt:lpstr>'LocalVar Sound'!DataBytes</vt:lpstr>
      <vt:lpstr>Main!DataBytes</vt:lpstr>
      <vt:lpstr>'Main mit Wechselblinker'!DataBytes</vt:lpstr>
      <vt:lpstr>RGB_AmpelX!DataBytes</vt:lpstr>
      <vt:lpstr>RGB_AmpelX_Fade!DataBytes</vt:lpstr>
      <vt:lpstr>RGB_AmpelX_Fade_Off!DataBytes</vt:lpstr>
      <vt:lpstr>RGB_AmpelX_Off!DataBytes</vt:lpstr>
      <vt:lpstr>RGB_ConstrWarnLight!DataBytes</vt:lpstr>
      <vt:lpstr>' Entry Signal3'!Ende</vt:lpstr>
      <vt:lpstr>'90.Int_Test_LocalVar_Pattern'!Ende</vt:lpstr>
      <vt:lpstr>AmpelX!Ende</vt:lpstr>
      <vt:lpstr>AmpelX_Off!Ende</vt:lpstr>
      <vt:lpstr>ConstrWarnLight!Ende</vt:lpstr>
      <vt:lpstr>'Dep Signal4'!Ende</vt:lpstr>
      <vt:lpstr>'Dep Signal4 RGB'!Ende</vt:lpstr>
      <vt:lpstr>'Entry Signal3 RGB'!Ende</vt:lpstr>
      <vt:lpstr>Heartbeat_Hue!Ende</vt:lpstr>
      <vt:lpstr>Heartbeat_Val!Ende</vt:lpstr>
      <vt:lpstr>'Ilumination Hue'!Ende</vt:lpstr>
      <vt:lpstr>'Ilumination Val'!Ende</vt:lpstr>
      <vt:lpstr>'LocalVar Sound'!Ende</vt:lpstr>
      <vt:lpstr>'Main mit Wechselblinker'!Ende</vt:lpstr>
      <vt:lpstr>RGB_AmpelX!Ende</vt:lpstr>
      <vt:lpstr>RGB_AmpelX_Fade!Ende</vt:lpstr>
      <vt:lpstr>RGB_AmpelX_Fade_Off!Ende</vt:lpstr>
      <vt:lpstr>RGB_AmpelX_Off!Ende</vt:lpstr>
      <vt:lpstr>RGB_ConstrWarnLight!Ende</vt:lpstr>
      <vt:lpstr>Ende</vt:lpstr>
      <vt:lpstr>' Entry Signal3'!ErsteRGBLED</vt:lpstr>
      <vt:lpstr>'90.Int_Test_LocalVar_Pattern'!ErsteRGBLED</vt:lpstr>
      <vt:lpstr>AmpelX!ErsteRGBLED</vt:lpstr>
      <vt:lpstr>AmpelX_Off!ErsteRGBLED</vt:lpstr>
      <vt:lpstr>ConstrWarnLight!ErsteRGBLED</vt:lpstr>
      <vt:lpstr>'Dep Signal4'!ErsteRGBLED</vt:lpstr>
      <vt:lpstr>'Dep Signal4 RGB'!ErsteRGBLED</vt:lpstr>
      <vt:lpstr>'Entry Signal3 RGB'!ErsteRGBLED</vt:lpstr>
      <vt:lpstr>Heartbeat_Hue!ErsteRGBLED</vt:lpstr>
      <vt:lpstr>Heartbeat_Val!ErsteRGBLED</vt:lpstr>
      <vt:lpstr>'Ilumination Hue'!ErsteRGBLED</vt:lpstr>
      <vt:lpstr>'Ilumination Val'!ErsteRGBLED</vt:lpstr>
      <vt:lpstr>'LocalVar Sound'!ErsteRGBLED</vt:lpstr>
      <vt:lpstr>'Main mit Wechselblinker'!ErsteRGBLED</vt:lpstr>
      <vt:lpstr>RGB_AmpelX!ErsteRGBLED</vt:lpstr>
      <vt:lpstr>RGB_AmpelX_Fade!ErsteRGBLED</vt:lpstr>
      <vt:lpstr>RGB_AmpelX_Fade_Off!ErsteRGBLED</vt:lpstr>
      <vt:lpstr>RGB_AmpelX_Off!ErsteRGBLED</vt:lpstr>
      <vt:lpstr>RGB_ConstrWarnLight!ErsteRGBLED</vt:lpstr>
      <vt:lpstr>ErsteRGBLED</vt:lpstr>
      <vt:lpstr>' Entry Signal3'!FreeBits</vt:lpstr>
      <vt:lpstr>'90.Int_Test_LocalVar_Pattern'!FreeBits</vt:lpstr>
      <vt:lpstr>AmpelX!FreeBits</vt:lpstr>
      <vt:lpstr>AmpelX_Off!FreeBits</vt:lpstr>
      <vt:lpstr>ConstrWarnLight!FreeBits</vt:lpstr>
      <vt:lpstr>'Dep Signal4'!FreeBits</vt:lpstr>
      <vt:lpstr>'Dep Signal4 RGB'!FreeBits</vt:lpstr>
      <vt:lpstr>'Entry Signal3 RGB'!FreeBits</vt:lpstr>
      <vt:lpstr>Heartbeat_Hue!FreeBits</vt:lpstr>
      <vt:lpstr>Heartbeat_Val!FreeBits</vt:lpstr>
      <vt:lpstr>'Ilumination Hue'!FreeBits</vt:lpstr>
      <vt:lpstr>'Ilumination Val'!FreeBits</vt:lpstr>
      <vt:lpstr>'LocalVar Sound'!FreeBits</vt:lpstr>
      <vt:lpstr>'Main mit Wechselblinker'!FreeBits</vt:lpstr>
      <vt:lpstr>RGB_AmpelX!FreeBits</vt:lpstr>
      <vt:lpstr>RGB_AmpelX_Fade!FreeBits</vt:lpstr>
      <vt:lpstr>RGB_AmpelX_Fade_Off!FreeBits</vt:lpstr>
      <vt:lpstr>RGB_AmpelX_Off!FreeBits</vt:lpstr>
      <vt:lpstr>RGB_ConstrWarnLight!FreeBits</vt:lpstr>
      <vt:lpstr>FreeBits</vt:lpstr>
      <vt:lpstr>' Entry Signal3'!FreeBits_BpC</vt:lpstr>
      <vt:lpstr>'90.Int_Test_LocalVar_Pattern'!FreeBits_BpC</vt:lpstr>
      <vt:lpstr>AmpelX!FreeBits_BpC</vt:lpstr>
      <vt:lpstr>AmpelX_Off!FreeBits_BpC</vt:lpstr>
      <vt:lpstr>ConstrWarnLight!FreeBits_BpC</vt:lpstr>
      <vt:lpstr>'Dep Signal4'!FreeBits_BpC</vt:lpstr>
      <vt:lpstr>'Dep Signal4 RGB'!FreeBits_BpC</vt:lpstr>
      <vt:lpstr>'Entry Signal3 RGB'!FreeBits_BpC</vt:lpstr>
      <vt:lpstr>Heartbeat_Hue!FreeBits_BpC</vt:lpstr>
      <vt:lpstr>Heartbeat_Val!FreeBits_BpC</vt:lpstr>
      <vt:lpstr>'Ilumination Hue'!FreeBits_BpC</vt:lpstr>
      <vt:lpstr>'Ilumination Val'!FreeBits_BpC</vt:lpstr>
      <vt:lpstr>'LocalVar Sound'!FreeBits_BpC</vt:lpstr>
      <vt:lpstr>'Main mit Wechselblinker'!FreeBits_BpC</vt:lpstr>
      <vt:lpstr>RGB_AmpelX!FreeBits_BpC</vt:lpstr>
      <vt:lpstr>RGB_AmpelX_Fade!FreeBits_BpC</vt:lpstr>
      <vt:lpstr>RGB_AmpelX_Fade_Off!FreeBits_BpC</vt:lpstr>
      <vt:lpstr>RGB_AmpelX_Off!FreeBits_BpC</vt:lpstr>
      <vt:lpstr>RGB_ConstrWarnLight!FreeBits_BpC</vt:lpstr>
      <vt:lpstr>FreeBits_BpC</vt:lpstr>
      <vt:lpstr>' Entry Signal3'!Goto_Bytes</vt:lpstr>
      <vt:lpstr>'90.Int_Test_LocalVar_Pattern'!Goto_Bytes</vt:lpstr>
      <vt:lpstr>'Dep Signal4'!Goto_Bytes</vt:lpstr>
      <vt:lpstr>'Dep Signal4 RGB'!Goto_Bytes</vt:lpstr>
      <vt:lpstr>'Entry Signal3 RGB'!Goto_Bytes</vt:lpstr>
      <vt:lpstr>'LocalVar Sound'!Goto_Bytes</vt:lpstr>
      <vt:lpstr>Goto_Bytes</vt:lpstr>
      <vt:lpstr>' Entry Signal3'!Goto_Mode</vt:lpstr>
      <vt:lpstr>'90.Int_Test_LocalVar_Pattern'!Goto_Mode</vt:lpstr>
      <vt:lpstr>'Dep Signal4'!Goto_Mode</vt:lpstr>
      <vt:lpstr>'Dep Signal4 RGB'!Goto_Mode</vt:lpstr>
      <vt:lpstr>'Entry Signal3 RGB'!Goto_Mode</vt:lpstr>
      <vt:lpstr>'LocalVar Sound'!Goto_Mode</vt:lpstr>
      <vt:lpstr>Goto_Mode</vt:lpstr>
      <vt:lpstr>' Entry Signal3'!InChStr</vt:lpstr>
      <vt:lpstr>'90.Int_Test_LocalVar_Pattern'!InChStr</vt:lpstr>
      <vt:lpstr>'Dep Signal4'!InChStr</vt:lpstr>
      <vt:lpstr>'Dep Signal4 RGB'!InChStr</vt:lpstr>
      <vt:lpstr>'Entry Signal3 RGB'!InChStr</vt:lpstr>
      <vt:lpstr>'LocalVar Sound'!InChStr</vt:lpstr>
      <vt:lpstr>InChStr</vt:lpstr>
      <vt:lpstr>' Entry Signal3'!InNrStr</vt:lpstr>
      <vt:lpstr>'90.Int_Test_LocalVar_Pattern'!InNrStr</vt:lpstr>
      <vt:lpstr>'Dep Signal4'!InNrStr</vt:lpstr>
      <vt:lpstr>'Dep Signal4 RGB'!InNrStr</vt:lpstr>
      <vt:lpstr>'Entry Signal3 RGB'!InNrStr</vt:lpstr>
      <vt:lpstr>'LocalVar Sound'!InNrStr</vt:lpstr>
      <vt:lpstr>InNrStr</vt:lpstr>
      <vt:lpstr>' Entry Signal3'!InNrStr2</vt:lpstr>
      <vt:lpstr>'90.Int_Test_LocalVar_Pattern'!InNrStr2</vt:lpstr>
      <vt:lpstr>'Dep Signal4'!InNrStr2</vt:lpstr>
      <vt:lpstr>'Dep Signal4 RGB'!InNrStr2</vt:lpstr>
      <vt:lpstr>'Entry Signal3 RGB'!InNrStr2</vt:lpstr>
      <vt:lpstr>'LocalVar Sound'!InNrStr2</vt:lpstr>
      <vt:lpstr>InNrStr2</vt:lpstr>
      <vt:lpstr>' Entry Signal3'!InputCh</vt:lpstr>
      <vt:lpstr>'90.Int_Test_LocalVar_Pattern'!InputCh</vt:lpstr>
      <vt:lpstr>'Dep Signal4'!InputCh</vt:lpstr>
      <vt:lpstr>'Dep Signal4 RGB'!InputCh</vt:lpstr>
      <vt:lpstr>'Entry Signal3 RGB'!InputCh</vt:lpstr>
      <vt:lpstr>'LocalVar Sound'!InputCh</vt:lpstr>
      <vt:lpstr>InputCh</vt:lpstr>
      <vt:lpstr>' Entry Signal3'!Kanaele</vt:lpstr>
      <vt:lpstr>'90.Int_Test_LocalVar_Pattern'!Kanaele</vt:lpstr>
      <vt:lpstr>AmpelX!Kanaele</vt:lpstr>
      <vt:lpstr>AmpelX_Off!Kanaele</vt:lpstr>
      <vt:lpstr>ConstrWarnLight!Kanaele</vt:lpstr>
      <vt:lpstr>'Dep Signal4'!Kanaele</vt:lpstr>
      <vt:lpstr>'Dep Signal4 RGB'!Kanaele</vt:lpstr>
      <vt:lpstr>'Entry Signal3 RGB'!Kanaele</vt:lpstr>
      <vt:lpstr>Heartbeat_Hue!Kanaele</vt:lpstr>
      <vt:lpstr>Heartbeat_Val!Kanaele</vt:lpstr>
      <vt:lpstr>'Ilumination Hue'!Kanaele</vt:lpstr>
      <vt:lpstr>'Ilumination Val'!Kanaele</vt:lpstr>
      <vt:lpstr>'LocalVar Sound'!Kanaele</vt:lpstr>
      <vt:lpstr>'Main mit Wechselblinker'!Kanaele</vt:lpstr>
      <vt:lpstr>RGB_AmpelX!Kanaele</vt:lpstr>
      <vt:lpstr>RGB_AmpelX_Fade!Kanaele</vt:lpstr>
      <vt:lpstr>RGB_AmpelX_Fade_Off!Kanaele</vt:lpstr>
      <vt:lpstr>RGB_AmpelX_Off!Kanaele</vt:lpstr>
      <vt:lpstr>RGB_ConstrWarnLight!Kanaele</vt:lpstr>
      <vt:lpstr>Kanaele</vt:lpstr>
      <vt:lpstr>' Entry Signal3'!Makro_Name</vt:lpstr>
      <vt:lpstr>'90.Int_Test_LocalVar_Pattern'!Makro_Name</vt:lpstr>
      <vt:lpstr>AmpelX!Makro_Name</vt:lpstr>
      <vt:lpstr>AmpelX_Off!Makro_Name</vt:lpstr>
      <vt:lpstr>ConstrWarnLight!Makro_Name</vt:lpstr>
      <vt:lpstr>'Dep Signal4'!Makro_Name</vt:lpstr>
      <vt:lpstr>'Dep Signal4 RGB'!Makro_Name</vt:lpstr>
      <vt:lpstr>'Entry Signal3 RGB'!Makro_Name</vt:lpstr>
      <vt:lpstr>Heartbeat_Hue!Makro_Name</vt:lpstr>
      <vt:lpstr>Heartbeat_Val!Makro_Name</vt:lpstr>
      <vt:lpstr>'Ilumination Hue'!Makro_Name</vt:lpstr>
      <vt:lpstr>'Ilumination Val'!Makro_Name</vt:lpstr>
      <vt:lpstr>'LocalVar Sound'!Makro_Name</vt:lpstr>
      <vt:lpstr>'Main mit Wechselblinker'!Makro_Name</vt:lpstr>
      <vt:lpstr>RGB_AmpelX!Makro_Name</vt:lpstr>
      <vt:lpstr>RGB_AmpelX_Fade!Makro_Name</vt:lpstr>
      <vt:lpstr>RGB_AmpelX_Fade_Off!Makro_Name</vt:lpstr>
      <vt:lpstr>RGB_AmpelX_Off!Makro_Name</vt:lpstr>
      <vt:lpstr>RGB_ConstrWarnLight!Makro_Name</vt:lpstr>
      <vt:lpstr>Makro_Name</vt:lpstr>
      <vt:lpstr>' Entry Signal3'!Mode</vt:lpstr>
      <vt:lpstr>'90.Int_Test_LocalVar_Pattern'!Mode</vt:lpstr>
      <vt:lpstr>AmpelX!Mode</vt:lpstr>
      <vt:lpstr>AmpelX_Off!Mode</vt:lpstr>
      <vt:lpstr>ConstrWarnLight!Mode</vt:lpstr>
      <vt:lpstr>'Dep Signal4'!Mode</vt:lpstr>
      <vt:lpstr>'Dep Signal4 RGB'!Mode</vt:lpstr>
      <vt:lpstr>'Entry Signal3 RGB'!Mode</vt:lpstr>
      <vt:lpstr>Heartbeat_Hue!Mode</vt:lpstr>
      <vt:lpstr>Heartbeat_Val!Mode</vt:lpstr>
      <vt:lpstr>'Ilumination Hue'!Mode</vt:lpstr>
      <vt:lpstr>'Ilumination Val'!Mode</vt:lpstr>
      <vt:lpstr>'LocalVar Sound'!Mode</vt:lpstr>
      <vt:lpstr>'Main mit Wechselblinker'!Mode</vt:lpstr>
      <vt:lpstr>RGB_AmpelX!Mode</vt:lpstr>
      <vt:lpstr>RGB_AmpelX_Fade!Mode</vt:lpstr>
      <vt:lpstr>RGB_AmpelX_Fade_Off!Mode</vt:lpstr>
      <vt:lpstr>RGB_AmpelX_Off!Mode</vt:lpstr>
      <vt:lpstr>RGB_ConstrWarnLight!Mode</vt:lpstr>
      <vt:lpstr>Mode</vt:lpstr>
      <vt:lpstr>' Entry Signal3'!Pattern_Bytes</vt:lpstr>
      <vt:lpstr>'90.Int_Test_LocalVar_Pattern'!Pattern_Bytes</vt:lpstr>
      <vt:lpstr>AmpelX!Pattern_Bytes</vt:lpstr>
      <vt:lpstr>AmpelX_Off!Pattern_Bytes</vt:lpstr>
      <vt:lpstr>ConstrWarnLight!Pattern_Bytes</vt:lpstr>
      <vt:lpstr>'Dep Signal4'!Pattern_Bytes</vt:lpstr>
      <vt:lpstr>'Dep Signal4 RGB'!Pattern_Bytes</vt:lpstr>
      <vt:lpstr>'Entry Signal3 RGB'!Pattern_Bytes</vt:lpstr>
      <vt:lpstr>Heartbeat_Hue!Pattern_Bytes</vt:lpstr>
      <vt:lpstr>Heartbeat_Val!Pattern_Bytes</vt:lpstr>
      <vt:lpstr>'Ilumination Hue'!Pattern_Bytes</vt:lpstr>
      <vt:lpstr>'Ilumination Val'!Pattern_Bytes</vt:lpstr>
      <vt:lpstr>'LocalVar Sound'!Pattern_Bytes</vt:lpstr>
      <vt:lpstr>'Main mit Wechselblinker'!Pattern_Bytes</vt:lpstr>
      <vt:lpstr>RGB_AmpelX!Pattern_Bytes</vt:lpstr>
      <vt:lpstr>RGB_AmpelX_Fade!Pattern_Bytes</vt:lpstr>
      <vt:lpstr>RGB_AmpelX_Fade_Off!Pattern_Bytes</vt:lpstr>
      <vt:lpstr>RGB_AmpelX_Off!Pattern_Bytes</vt:lpstr>
      <vt:lpstr>RGB_ConstrWarnLight!Pattern_Bytes</vt:lpstr>
      <vt:lpstr>Pattern_Bytes</vt:lpstr>
      <vt:lpstr>' Entry Signal3'!Pattern_u_FreeBits</vt:lpstr>
      <vt:lpstr>'90.Int_Test_LocalVar_Pattern'!Pattern_u_FreeBits</vt:lpstr>
      <vt:lpstr>AmpelX!Pattern_u_FreeBits</vt:lpstr>
      <vt:lpstr>AmpelX_Off!Pattern_u_FreeBits</vt:lpstr>
      <vt:lpstr>ConstrWarnLight!Pattern_u_FreeBits</vt:lpstr>
      <vt:lpstr>'Dep Signal4'!Pattern_u_FreeBits</vt:lpstr>
      <vt:lpstr>'Dep Signal4 RGB'!Pattern_u_FreeBits</vt:lpstr>
      <vt:lpstr>'Entry Signal3 RGB'!Pattern_u_FreeBits</vt:lpstr>
      <vt:lpstr>Heartbeat_Hue!Pattern_u_FreeBits</vt:lpstr>
      <vt:lpstr>Heartbeat_Val!Pattern_u_FreeBits</vt:lpstr>
      <vt:lpstr>'Ilumination Hue'!Pattern_u_FreeBits</vt:lpstr>
      <vt:lpstr>'Ilumination Val'!Pattern_u_FreeBits</vt:lpstr>
      <vt:lpstr>'LocalVar Sound'!Pattern_u_FreeBits</vt:lpstr>
      <vt:lpstr>'Main mit Wechselblinker'!Pattern_u_FreeBits</vt:lpstr>
      <vt:lpstr>RGB_AmpelX!Pattern_u_FreeBits</vt:lpstr>
      <vt:lpstr>RGB_AmpelX_Fade!Pattern_u_FreeBits</vt:lpstr>
      <vt:lpstr>RGB_AmpelX_Fade_Off!Pattern_u_FreeBits</vt:lpstr>
      <vt:lpstr>RGB_AmpelX_Off!Pattern_u_FreeBits</vt:lpstr>
      <vt:lpstr>RGB_ConstrWarnLight!Pattern_u_FreeBits</vt:lpstr>
      <vt:lpstr>Pattern_u_FreeBits</vt:lpstr>
      <vt:lpstr>' Entry Signal3'!SchalterNr</vt:lpstr>
      <vt:lpstr>'90.Int_Test_LocalVar_Pattern'!SchalterNr</vt:lpstr>
      <vt:lpstr>AmpelX!SchalterNr</vt:lpstr>
      <vt:lpstr>AmpelX_Off!SchalterNr</vt:lpstr>
      <vt:lpstr>ConstrWarnLight!SchalterNr</vt:lpstr>
      <vt:lpstr>'Dep Signal4'!SchalterNr</vt:lpstr>
      <vt:lpstr>'Dep Signal4 RGB'!SchalterNr</vt:lpstr>
      <vt:lpstr>'Entry Signal3 RGB'!SchalterNr</vt:lpstr>
      <vt:lpstr>Heartbeat_Hue!SchalterNr</vt:lpstr>
      <vt:lpstr>Heartbeat_Val!SchalterNr</vt:lpstr>
      <vt:lpstr>'Ilumination Hue'!SchalterNr</vt:lpstr>
      <vt:lpstr>'Ilumination Val'!SchalterNr</vt:lpstr>
      <vt:lpstr>'LocalVar Sound'!SchalterNr</vt:lpstr>
      <vt:lpstr>'Main mit Wechselblinker'!SchalterNr</vt:lpstr>
      <vt:lpstr>RGB_AmpelX!SchalterNr</vt:lpstr>
      <vt:lpstr>RGB_AmpelX_Fade!SchalterNr</vt:lpstr>
      <vt:lpstr>RGB_AmpelX_Fade_Off!SchalterNr</vt:lpstr>
      <vt:lpstr>RGB_AmpelX_Off!SchalterNr</vt:lpstr>
      <vt:lpstr>RGB_ConstrWarnLight!SchalterNr</vt:lpstr>
      <vt:lpstr>SchalterNr</vt:lpstr>
      <vt:lpstr>' Entry Signal3'!ShalterNr</vt:lpstr>
      <vt:lpstr>'90.Int_Test_LocalVar_Pattern'!ShalterNr</vt:lpstr>
      <vt:lpstr>AmpelX!ShalterNr</vt:lpstr>
      <vt:lpstr>AmpelX_Off!ShalterNr</vt:lpstr>
      <vt:lpstr>ConstrWarnLight!ShalterNr</vt:lpstr>
      <vt:lpstr>'Dep Signal4'!ShalterNr</vt:lpstr>
      <vt:lpstr>'Dep Signal4 RGB'!ShalterNr</vt:lpstr>
      <vt:lpstr>'Entry Signal3 RGB'!ShalterNr</vt:lpstr>
      <vt:lpstr>Heartbeat_Hue!ShalterNr</vt:lpstr>
      <vt:lpstr>Heartbeat_Val!ShalterNr</vt:lpstr>
      <vt:lpstr>'Ilumination Hue'!ShalterNr</vt:lpstr>
      <vt:lpstr>'Ilumination Val'!ShalterNr</vt:lpstr>
      <vt:lpstr>'LocalVar Sound'!ShalterNr</vt:lpstr>
      <vt:lpstr>'Main mit Wechselblinker'!ShalterNr</vt:lpstr>
      <vt:lpstr>RGB_AmpelX!ShalterNr</vt:lpstr>
      <vt:lpstr>RGB_AmpelX_Fade!ShalterNr</vt:lpstr>
      <vt:lpstr>RGB_AmpelX_Fade_Off!ShalterNr</vt:lpstr>
      <vt:lpstr>RGB_AmpelX_Off!ShalterNr</vt:lpstr>
      <vt:lpstr>RGB_ConstrWarnLight!ShalterNr</vt:lpstr>
      <vt:lpstr>ShalterNr</vt:lpstr>
      <vt:lpstr>' Entry Signal3'!Start</vt:lpstr>
      <vt:lpstr>'90.Int_Test_LocalVar_Pattern'!Start</vt:lpstr>
      <vt:lpstr>AmpelX!Start</vt:lpstr>
      <vt:lpstr>AmpelX_Off!Start</vt:lpstr>
      <vt:lpstr>ConstrWarnLight!Start</vt:lpstr>
      <vt:lpstr>'Dep Signal4'!Start</vt:lpstr>
      <vt:lpstr>'Dep Signal4 RGB'!Start</vt:lpstr>
      <vt:lpstr>'Entry Signal3 RGB'!Start</vt:lpstr>
      <vt:lpstr>Heartbeat_Hue!Start</vt:lpstr>
      <vt:lpstr>Heartbeat_Val!Start</vt:lpstr>
      <vt:lpstr>'Ilumination Hue'!Start</vt:lpstr>
      <vt:lpstr>'Ilumination Val'!Start</vt:lpstr>
      <vt:lpstr>'LocalVar Sound'!Start</vt:lpstr>
      <vt:lpstr>'Main mit Wechselblinker'!Start</vt:lpstr>
      <vt:lpstr>RGB_AmpelX!Start</vt:lpstr>
      <vt:lpstr>RGB_AmpelX_Fade!Start</vt:lpstr>
      <vt:lpstr>RGB_AmpelX_Fade_Off!Start</vt:lpstr>
      <vt:lpstr>RGB_AmpelX_Off!Start</vt:lpstr>
      <vt:lpstr>RGB_ConstrWarnLight!Start</vt:lpstr>
      <vt:lpstr>Start</vt:lpstr>
      <vt:lpstr>' Entry Signal3'!Startkanal</vt:lpstr>
      <vt:lpstr>'90.Int_Test_LocalVar_Pattern'!Startkanal</vt:lpstr>
      <vt:lpstr>AmpelX!Startkanal</vt:lpstr>
      <vt:lpstr>AmpelX_Off!Startkanal</vt:lpstr>
      <vt:lpstr>ConstrWarnLight!Startkanal</vt:lpstr>
      <vt:lpstr>'Dep Signal4'!Startkanal</vt:lpstr>
      <vt:lpstr>'Dep Signal4 RGB'!Startkanal</vt:lpstr>
      <vt:lpstr>'Entry Signal3 RGB'!Startkanal</vt:lpstr>
      <vt:lpstr>Heartbeat_Hue!Startkanal</vt:lpstr>
      <vt:lpstr>Heartbeat_Val!Startkanal</vt:lpstr>
      <vt:lpstr>'Ilumination Hue'!Startkanal</vt:lpstr>
      <vt:lpstr>'Ilumination Val'!Startkanal</vt:lpstr>
      <vt:lpstr>'LocalVar Sound'!Startkanal</vt:lpstr>
      <vt:lpstr>'Main mit Wechselblinker'!Startkanal</vt:lpstr>
      <vt:lpstr>RGB_AmpelX!Startkanal</vt:lpstr>
      <vt:lpstr>RGB_AmpelX_Fade!Startkanal</vt:lpstr>
      <vt:lpstr>RGB_AmpelX_Fade_Off!Startkanal</vt:lpstr>
      <vt:lpstr>RGB_AmpelX_Off!Startkanal</vt:lpstr>
      <vt:lpstr>RGB_ConstrWarnLight!Startkanal</vt:lpstr>
      <vt:lpstr>Startkanal</vt:lpstr>
      <vt:lpstr>' Entry Signal3'!StCh_FreeBits_BpC</vt:lpstr>
      <vt:lpstr>'90.Int_Test_LocalVar_Pattern'!StCh_FreeBits_BpC</vt:lpstr>
      <vt:lpstr>AmpelX!StCh_FreeBits_BpC</vt:lpstr>
      <vt:lpstr>AmpelX_Off!StCh_FreeBits_BpC</vt:lpstr>
      <vt:lpstr>ConstrWarnLight!StCh_FreeBits_BpC</vt:lpstr>
      <vt:lpstr>'Dep Signal4'!StCh_FreeBits_BpC</vt:lpstr>
      <vt:lpstr>'Dep Signal4 RGB'!StCh_FreeBits_BpC</vt:lpstr>
      <vt:lpstr>'Entry Signal3 RGB'!StCh_FreeBits_BpC</vt:lpstr>
      <vt:lpstr>Heartbeat_Hue!StCh_FreeBits_BpC</vt:lpstr>
      <vt:lpstr>Heartbeat_Val!StCh_FreeBits_BpC</vt:lpstr>
      <vt:lpstr>'Ilumination Hue'!StCh_FreeBits_BpC</vt:lpstr>
      <vt:lpstr>'Ilumination Val'!StCh_FreeBits_BpC</vt:lpstr>
      <vt:lpstr>'LocalVar Sound'!StCh_FreeBits_BpC</vt:lpstr>
      <vt:lpstr>'Main mit Wechselblinker'!StCh_FreeBits_BpC</vt:lpstr>
      <vt:lpstr>RGB_AmpelX!StCh_FreeBits_BpC</vt:lpstr>
      <vt:lpstr>RGB_AmpelX_Fade!StCh_FreeBits_BpC</vt:lpstr>
      <vt:lpstr>RGB_AmpelX_Fade_Off!StCh_FreeBits_BpC</vt:lpstr>
      <vt:lpstr>RGB_AmpelX_Off!StCh_FreeBits_BpC</vt:lpstr>
      <vt:lpstr>RGB_ConstrWarnLight!StCh_FreeBits_BpC</vt:lpstr>
      <vt:lpstr>StCh_FreeBits_BpC</vt:lpstr>
      <vt:lpstr>' Entry Signal3'!TimerBytes</vt:lpstr>
      <vt:lpstr>'90.Int_Test_LocalVar_Pattern'!TimerBytes</vt:lpstr>
      <vt:lpstr>AmpelX!TimerBytes</vt:lpstr>
      <vt:lpstr>AmpelX_Off!TimerBytes</vt:lpstr>
      <vt:lpstr>ConstrWarnLight!TimerBytes</vt:lpstr>
      <vt:lpstr>'Dep Signal4'!TimerBytes</vt:lpstr>
      <vt:lpstr>'Dep Signal4 RGB'!TimerBytes</vt:lpstr>
      <vt:lpstr>'Entry Signal3 RGB'!TimerBytes</vt:lpstr>
      <vt:lpstr>Heartbeat_Hue!TimerBytes</vt:lpstr>
      <vt:lpstr>Heartbeat_Val!TimerBytes</vt:lpstr>
      <vt:lpstr>'Ilumination Hue'!TimerBytes</vt:lpstr>
      <vt:lpstr>'Ilumination Val'!TimerBytes</vt:lpstr>
      <vt:lpstr>'LocalVar Sound'!TimerBytes</vt:lpstr>
      <vt:lpstr>Main!TimerBytes</vt:lpstr>
      <vt:lpstr>'Main mit Wechselblinker'!TimerBytes</vt:lpstr>
      <vt:lpstr>RGB_AmpelX!TimerBytes</vt:lpstr>
      <vt:lpstr>RGB_AmpelX_Fade!TimerBytes</vt:lpstr>
      <vt:lpstr>RGB_AmpelX_Fade_Off!TimerBytes</vt:lpstr>
      <vt:lpstr>RGB_AmpelX_Off!TimerBytes</vt:lpstr>
      <vt:lpstr>RGB_ConstrWarnLight!TimerBytes</vt:lpstr>
      <vt:lpstr>' Entry Signal3'!Wert_ausgeschaltet</vt:lpstr>
      <vt:lpstr>'90.Int_Test_LocalVar_Pattern'!Wert_ausgeschaltet</vt:lpstr>
      <vt:lpstr>AmpelX!Wert_ausgeschaltet</vt:lpstr>
      <vt:lpstr>AmpelX_Off!Wert_ausgeschaltet</vt:lpstr>
      <vt:lpstr>ConstrWarnLight!Wert_ausgeschaltet</vt:lpstr>
      <vt:lpstr>'Dep Signal4'!Wert_ausgeschaltet</vt:lpstr>
      <vt:lpstr>'Dep Signal4 RGB'!Wert_ausgeschaltet</vt:lpstr>
      <vt:lpstr>'Entry Signal3 RGB'!Wert_ausgeschaltet</vt:lpstr>
      <vt:lpstr>Heartbeat_Hue!Wert_ausgeschaltet</vt:lpstr>
      <vt:lpstr>Heartbeat_Val!Wert_ausgeschaltet</vt:lpstr>
      <vt:lpstr>'Ilumination Hue'!Wert_ausgeschaltet</vt:lpstr>
      <vt:lpstr>'Ilumination Val'!Wert_ausgeschaltet</vt:lpstr>
      <vt:lpstr>'LocalVar Sound'!Wert_ausgeschaltet</vt:lpstr>
      <vt:lpstr>'Main mit Wechselblinker'!Wert_ausgeschaltet</vt:lpstr>
      <vt:lpstr>RGB_AmpelX!Wert_ausgeschaltet</vt:lpstr>
      <vt:lpstr>RGB_AmpelX_Fade!Wert_ausgeschaltet</vt:lpstr>
      <vt:lpstr>RGB_AmpelX_Fade_Off!Wert_ausgeschaltet</vt:lpstr>
      <vt:lpstr>RGB_AmpelX_Off!Wert_ausgeschaltet</vt:lpstr>
      <vt:lpstr>RGB_ConstrWarnLight!Wert_ausgeschaltet</vt:lpstr>
      <vt:lpstr>Wert_ausgeschaltet</vt:lpstr>
      <vt:lpstr>' Entry Signal3'!Wert_Min</vt:lpstr>
      <vt:lpstr>'90.Int_Test_LocalVar_Pattern'!Wert_Min</vt:lpstr>
      <vt:lpstr>AmpelX!Wert_Min</vt:lpstr>
      <vt:lpstr>AmpelX_Off!Wert_Min</vt:lpstr>
      <vt:lpstr>ConstrWarnLight!Wert_Min</vt:lpstr>
      <vt:lpstr>'Dep Signal4'!Wert_Min</vt:lpstr>
      <vt:lpstr>'Dep Signal4 RGB'!Wert_Min</vt:lpstr>
      <vt:lpstr>'Entry Signal3 RGB'!Wert_Min</vt:lpstr>
      <vt:lpstr>Heartbeat_Hue!Wert_Min</vt:lpstr>
      <vt:lpstr>Heartbeat_Val!Wert_Min</vt:lpstr>
      <vt:lpstr>'Ilumination Hue'!Wert_Min</vt:lpstr>
      <vt:lpstr>'Ilumination Val'!Wert_Min</vt:lpstr>
      <vt:lpstr>'LocalVar Sound'!Wert_Min</vt:lpstr>
      <vt:lpstr>'Main mit Wechselblinker'!Wert_Min</vt:lpstr>
      <vt:lpstr>RGB_AmpelX!Wert_Min</vt:lpstr>
      <vt:lpstr>RGB_AmpelX_Fade!Wert_Min</vt:lpstr>
      <vt:lpstr>RGB_AmpelX_Fade_Off!Wert_Min</vt:lpstr>
      <vt:lpstr>RGB_AmpelX_Off!Wert_Min</vt:lpstr>
      <vt:lpstr>RGB_ConstrWarnLight!Wert_Min</vt:lpstr>
      <vt:lpstr>Wert_Min</vt:lpstr>
      <vt:lpstr>' Entry Signal3'!Wert0</vt:lpstr>
      <vt:lpstr>'90.Int_Test_LocalVar_Pattern'!Wert0</vt:lpstr>
      <vt:lpstr>AmpelX!Wert0</vt:lpstr>
      <vt:lpstr>AmpelX_Off!Wert0</vt:lpstr>
      <vt:lpstr>ConstrWarnLight!Wert0</vt:lpstr>
      <vt:lpstr>'Dep Signal4'!Wert0</vt:lpstr>
      <vt:lpstr>'Dep Signal4 RGB'!Wert0</vt:lpstr>
      <vt:lpstr>'Entry Signal3 RGB'!Wert0</vt:lpstr>
      <vt:lpstr>Heartbeat_Hue!Wert0</vt:lpstr>
      <vt:lpstr>Heartbeat_Val!Wert0</vt:lpstr>
      <vt:lpstr>'Ilumination Hue'!Wert0</vt:lpstr>
      <vt:lpstr>'Ilumination Val'!Wert0</vt:lpstr>
      <vt:lpstr>'LocalVar Sound'!Wert0</vt:lpstr>
      <vt:lpstr>'Main mit Wechselblinker'!Wert0</vt:lpstr>
      <vt:lpstr>RGB_AmpelX!Wert0</vt:lpstr>
      <vt:lpstr>RGB_AmpelX_Fade!Wert0</vt:lpstr>
      <vt:lpstr>RGB_AmpelX_Fade_Off!Wert0</vt:lpstr>
      <vt:lpstr>RGB_AmpelX_Off!Wert0</vt:lpstr>
      <vt:lpstr>RGB_ConstrWarnLight!Wert0</vt:lpstr>
      <vt:lpstr>Wert0</vt:lpstr>
      <vt:lpstr>' Entry Signal3'!WertMax</vt:lpstr>
      <vt:lpstr>'90.Int_Test_LocalVar_Pattern'!WertMax</vt:lpstr>
      <vt:lpstr>AmpelX!WertMax</vt:lpstr>
      <vt:lpstr>AmpelX_Off!WertMax</vt:lpstr>
      <vt:lpstr>ConstrWarnLight!WertMax</vt:lpstr>
      <vt:lpstr>'Dep Signal4'!WertMax</vt:lpstr>
      <vt:lpstr>'Dep Signal4 RGB'!WertMax</vt:lpstr>
      <vt:lpstr>'Entry Signal3 RGB'!WertMax</vt:lpstr>
      <vt:lpstr>Heartbeat_Hue!WertMax</vt:lpstr>
      <vt:lpstr>Heartbeat_Val!WertMax</vt:lpstr>
      <vt:lpstr>'Ilumination Hue'!WertMax</vt:lpstr>
      <vt:lpstr>'Ilumination Val'!WertMax</vt:lpstr>
      <vt:lpstr>'LocalVar Sound'!WertMax</vt:lpstr>
      <vt:lpstr>'Main mit Wechselblinker'!WertMax</vt:lpstr>
      <vt:lpstr>RGB_AmpelX!WertMax</vt:lpstr>
      <vt:lpstr>RGB_AmpelX_Fade!WertMax</vt:lpstr>
      <vt:lpstr>RGB_AmpelX_Fade_Off!WertMax</vt:lpstr>
      <vt:lpstr>RGB_AmpelX_Off!WertMax</vt:lpstr>
      <vt:lpstr>RGB_ConstrWarnLight!WertMax</vt:lpstr>
      <vt:lpstr>WertMax</vt:lpstr>
      <vt:lpstr>' Entry Signal3'!Zeiten</vt:lpstr>
      <vt:lpstr>'90.Int_Test_LocalVar_Pattern'!Zeiten</vt:lpstr>
      <vt:lpstr>AmpelX!Zeiten</vt:lpstr>
      <vt:lpstr>AmpelX_Off!Zeiten</vt:lpstr>
      <vt:lpstr>ConstrWarnLight!Zeiten</vt:lpstr>
      <vt:lpstr>'Dep Signal4'!Zeiten</vt:lpstr>
      <vt:lpstr>'Dep Signal4 RGB'!Zeiten</vt:lpstr>
      <vt:lpstr>'Entry Signal3 RGB'!Zeiten</vt:lpstr>
      <vt:lpstr>Heartbeat_Hue!Zeiten</vt:lpstr>
      <vt:lpstr>Heartbeat_Val!Zeiten</vt:lpstr>
      <vt:lpstr>'Ilumination Hue'!Zeiten</vt:lpstr>
      <vt:lpstr>'Ilumination Val'!Zeiten</vt:lpstr>
      <vt:lpstr>'LocalVar Sound'!Zeiten</vt:lpstr>
      <vt:lpstr>'Main mit Wechselblinker'!Zeiten</vt:lpstr>
      <vt:lpstr>RGB_AmpelX!Zeiten</vt:lpstr>
      <vt:lpstr>RGB_AmpelX_Fade!Zeiten</vt:lpstr>
      <vt:lpstr>RGB_AmpelX_Fade_Off!Zeiten</vt:lpstr>
      <vt:lpstr>RGB_AmpelX_Off!Zeiten</vt:lpstr>
      <vt:lpstr>RGB_ConstrWarnLight!Zeiten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2018-12-18T21:09:54Z</dcterms:modified>
</cp:coreProperties>
</file>